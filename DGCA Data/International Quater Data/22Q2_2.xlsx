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MONTHWISE!$A$1:$N$88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J12" i="2"/>
  <c r="K12" i="2"/>
  <c r="L12" i="2"/>
  <c r="M12" i="2"/>
  <c r="N12" i="2"/>
  <c r="D84" i="2"/>
  <c r="E84" i="2"/>
  <c r="F84" i="2"/>
  <c r="G84" i="2"/>
  <c r="H84" i="2"/>
  <c r="I84" i="2"/>
  <c r="J84" i="2"/>
  <c r="K84" i="2"/>
  <c r="L84" i="2"/>
  <c r="M84" i="2"/>
  <c r="N84" i="2"/>
  <c r="C84" i="2"/>
  <c r="D85" i="2" l="1"/>
  <c r="E85" i="2"/>
  <c r="F85" i="2"/>
  <c r="G85" i="2"/>
  <c r="H85" i="2"/>
  <c r="I85" i="2"/>
  <c r="J85" i="2"/>
  <c r="K85" i="2"/>
  <c r="L85" i="2"/>
  <c r="M85" i="2"/>
  <c r="N85" i="2"/>
  <c r="C85" i="2" l="1"/>
</calcChain>
</file>

<file path=xl/sharedStrings.xml><?xml version="1.0" encoding="utf-8"?>
<sst xmlns="http://schemas.openxmlformats.org/spreadsheetml/2006/main" count="103" uniqueCount="95">
  <si>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</si>
  <si>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</si>
  <si>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</si>
  <si>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</si>
  <si>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</si>
  <si>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</si>
  <si>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</si>
  <si>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</si>
  <si>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</si>
  <si>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</si>
  <si>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</si>
  <si>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ETIHAD AIRLINES</t>
  </si>
  <si>
    <t>FEDERAL EXPRESS</t>
  </si>
  <si>
    <t>IRAN AIR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</si>
  <si>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</si>
  <si>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</si>
  <si>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</si>
  <si>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</si>
  <si>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</si>
  <si>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</si>
  <si>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</si>
  <si>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</si>
  <si>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</si>
  <si>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</si>
  <si>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</si>
  <si>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</si>
  <si>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</si>
  <si>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</si>
  <si>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</si>
  <si>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</si>
  <si>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</si>
  <si>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</si>
  <si>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</si>
  <si>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</si>
  <si>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</si>
  <si>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</si>
  <si>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</si>
  <si>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</si>
  <si>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Note: 1. This table does not include the passengers and freight carried by domestic carriers entirely outside the Indian territory.</t>
  </si>
  <si>
    <t>SL. No.</t>
  </si>
  <si>
    <t>EMIRATES AIRLINE</t>
  </si>
  <si>
    <t>ETHIOPIAN AIRLINES</t>
  </si>
  <si>
    <t>GULF AIR</t>
  </si>
  <si>
    <t>SWISS AIR</t>
  </si>
  <si>
    <t>VISTARA AIRLINES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</si>
  <si>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</si>
  <si>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</si>
  <si>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</si>
  <si>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</si>
  <si>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</si>
  <si>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</si>
  <si>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</si>
  <si>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</si>
  <si>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LOT POLISH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</si>
  <si>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</si>
  <si>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</si>
  <si>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</si>
  <si>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</si>
  <si>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</si>
  <si>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</si>
  <si>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</si>
  <si>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EGYPT AIR</t>
  </si>
  <si>
    <t>AIR INDIA EXPRESS</t>
  </si>
  <si>
    <t>GO AIR</t>
  </si>
  <si>
    <t>INDIGO</t>
  </si>
  <si>
    <t>SPICEJET</t>
  </si>
  <si>
    <t>AIR ASIA BERHAD</t>
  </si>
  <si>
    <t>AIR ASTANA</t>
  </si>
  <si>
    <t>CHINA AIRLINES LTD</t>
  </si>
  <si>
    <t>FINN AIR</t>
  </si>
  <si>
    <t>FLYNAS</t>
  </si>
  <si>
    <t>SCOOT TIGER AIR</t>
  </si>
  <si>
    <t>SINGAPORE AIRLINES</t>
  </si>
  <si>
    <t>UNITED PARCEL SERVICES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</si>
  <si>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</si>
  <si>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</si>
  <si>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</si>
  <si>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</si>
  <si>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</si>
  <si>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</si>
  <si>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</si>
  <si>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SALAM AIR</t>
  </si>
  <si>
    <t>SAUDIA</t>
  </si>
  <si>
    <t>THAI SMILE AIRWAYS</t>
  </si>
  <si>
    <t>AIR AUSTRAL</t>
  </si>
  <si>
    <t>BRITISH AIRWAYS</t>
  </si>
  <si>
    <t>BUDDHA AIR</t>
  </si>
  <si>
    <t>THAI AIR ASIA</t>
  </si>
  <si>
    <t>THAI LION AIR</t>
  </si>
  <si>
    <t>VIETJET AIR</t>
  </si>
  <si>
    <t>APRIL</t>
  </si>
  <si>
    <t>MAY</t>
  </si>
  <si>
    <t>JUNE</t>
  </si>
  <si>
    <t>Note: 2.The Scheduled commercial international passenger services to/from India resumed as per DGCA’s circular dated 08-03-2022.</t>
  </si>
  <si>
    <t>TABLE 2. AIRLINEWISE MONTHLY INTERNATIONAL TRAFFIC STATISTICS (SCHEDULED) FOR THE QUARTER APRIL-JUNE 2022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</si>
</sst>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view="pageBreakPreview" zoomScale="70" zoomScaleNormal="55" zoomScaleSheetLayoutView="70" workbookViewId="0">
      <selection activeCell="E21" sqref="E21"/>
    </sheetView>
  </sheetViews>
  <sheetFormatPr defaultRowHeight="15" x14ac:dyDescent="0.25"/>
  <cols>
    <col min="1" max="1" width="9" style="1" customWidth="1"/>
    <col min="2" max="2" width="41.5703125" style="9" customWidth="1"/>
    <col min="3" max="3" width="16.7109375" style="1" customWidth="1"/>
    <col min="4" max="4" width="15.85546875" style="1" customWidth="1"/>
    <col min="5" max="6" width="16.7109375" style="1" customWidth="1"/>
    <col min="7" max="7" width="15.28515625" style="1" customWidth="1"/>
    <col min="8" max="8" width="16.7109375" style="1" customWidth="1"/>
    <col min="9" max="9" width="13.28515625" style="1" customWidth="1"/>
    <col min="10" max="11" width="16.7109375" style="1" customWidth="1"/>
    <col min="12" max="12" width="12.5703125" style="1" customWidth="1"/>
    <col min="13" max="13" width="11.7109375" style="1" customWidth="1"/>
    <col min="14" max="14" width="13.140625" style="1" customWidth="1"/>
    <col min="15" max="25" width="12.42578125" style="1" customWidth="1"/>
    <col min="26" max="16384" width="9.140625" style="1"/>
  </cols>
  <sheetData>
    <row r="1" spans="1:14" ht="52.5" customHeight="1" x14ac:dyDescent="0.25">
      <c r="A1" s="32" t="s">
        <v>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s="2" customFormat="1" ht="25.5" customHeight="1" x14ac:dyDescent="0.25">
      <c r="A2" s="33" t="s">
        <v>31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1" customHeight="1" x14ac:dyDescent="0.25">
      <c r="A3" s="34" t="s">
        <v>39</v>
      </c>
      <c r="B3" s="35" t="s">
        <v>0</v>
      </c>
      <c r="C3" s="34" t="s">
        <v>90</v>
      </c>
      <c r="D3" s="34"/>
      <c r="E3" s="34"/>
      <c r="F3" s="34"/>
      <c r="G3" s="34" t="s">
        <v>91</v>
      </c>
      <c r="H3" s="34"/>
      <c r="I3" s="34"/>
      <c r="J3" s="34"/>
      <c r="K3" s="34" t="s">
        <v>92</v>
      </c>
      <c r="L3" s="34"/>
      <c r="M3" s="34"/>
      <c r="N3" s="34"/>
    </row>
    <row r="4" spans="1:14" s="9" customFormat="1" ht="42" customHeight="1" x14ac:dyDescent="0.25">
      <c r="A4" s="34"/>
      <c r="B4" s="35"/>
      <c r="C4" s="22" t="s">
        <v>32</v>
      </c>
      <c r="D4" s="22" t="s">
        <v>33</v>
      </c>
      <c r="E4" s="22" t="s">
        <v>34</v>
      </c>
      <c r="F4" s="22" t="s">
        <v>35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32</v>
      </c>
      <c r="L4" s="22" t="s">
        <v>33</v>
      </c>
      <c r="M4" s="22" t="s">
        <v>34</v>
      </c>
      <c r="N4" s="22" t="s">
        <v>35</v>
      </c>
    </row>
    <row r="5" spans="1:14" ht="27" customHeight="1" x14ac:dyDescent="0.25">
      <c r="A5" s="27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s="4" customFormat="1" ht="19.5" customHeight="1" x14ac:dyDescent="0.25">
      <c r="A6" s="3">
        <v>1</v>
      </c>
      <c r="B6" s="11" t="s">
        <v>2</v>
      </c>
      <c r="C6" s="12">
        <v>218596</v>
      </c>
      <c r="D6" s="12">
        <v>242542</v>
      </c>
      <c r="E6" s="13">
        <v>3230.913</v>
      </c>
      <c r="F6" s="13">
        <v>6331.384</v>
      </c>
      <c r="G6" s="12">
        <v>217109</v>
      </c>
      <c r="H6" s="12">
        <v>252708</v>
      </c>
      <c r="I6" s="13">
        <v>3438.8560000000002</v>
      </c>
      <c r="J6" s="13">
        <v>4959.3980000000001</v>
      </c>
      <c r="K6" s="12">
        <v>249564</v>
      </c>
      <c r="L6" s="12">
        <v>233749</v>
      </c>
      <c r="M6" s="13">
        <v>3398.2200999999995</v>
      </c>
      <c r="N6" s="13">
        <v>4897.2870000000012</v>
      </c>
    </row>
    <row r="7" spans="1:14" s="4" customFormat="1" ht="19.5" customHeight="1" x14ac:dyDescent="0.25">
      <c r="A7" s="3">
        <v>2</v>
      </c>
      <c r="B7" s="14" t="s">
        <v>62</v>
      </c>
      <c r="C7" s="12">
        <v>149726</v>
      </c>
      <c r="D7" s="12">
        <v>166365</v>
      </c>
      <c r="E7" s="15">
        <v>398.55900000000003</v>
      </c>
      <c r="F7" s="15">
        <v>2147.75</v>
      </c>
      <c r="G7" s="12">
        <v>165638</v>
      </c>
      <c r="H7" s="12">
        <v>176435</v>
      </c>
      <c r="I7" s="13">
        <v>399.88400000000001</v>
      </c>
      <c r="J7" s="13">
        <v>1832.44</v>
      </c>
      <c r="K7" s="12">
        <v>190187</v>
      </c>
      <c r="L7" s="12">
        <v>158855</v>
      </c>
      <c r="M7" s="13">
        <v>383.601</v>
      </c>
      <c r="N7" s="13">
        <v>885.96699999999998</v>
      </c>
    </row>
    <row r="8" spans="1:14" s="4" customFormat="1" ht="19.5" customHeight="1" x14ac:dyDescent="0.25">
      <c r="A8" s="3">
        <v>3</v>
      </c>
      <c r="B8" s="11" t="s">
        <v>63</v>
      </c>
      <c r="C8" s="12">
        <v>27146</v>
      </c>
      <c r="D8" s="12">
        <v>31118</v>
      </c>
      <c r="E8" s="13">
        <v>0.2</v>
      </c>
      <c r="F8" s="13">
        <v>300.97629999999998</v>
      </c>
      <c r="G8" s="12">
        <v>40332</v>
      </c>
      <c r="H8" s="12">
        <v>45895</v>
      </c>
      <c r="I8" s="13">
        <v>6.3032700000000004</v>
      </c>
      <c r="J8" s="13">
        <v>288.08913999999993</v>
      </c>
      <c r="K8" s="16">
        <v>50280</v>
      </c>
      <c r="L8" s="16">
        <v>48293</v>
      </c>
      <c r="M8" s="15">
        <v>39.024360000000001</v>
      </c>
      <c r="N8" s="15">
        <v>260.68909000000002</v>
      </c>
    </row>
    <row r="9" spans="1:14" s="4" customFormat="1" ht="19.5" customHeight="1" x14ac:dyDescent="0.25">
      <c r="A9" s="3">
        <v>4</v>
      </c>
      <c r="B9" s="11" t="s">
        <v>64</v>
      </c>
      <c r="C9" s="12">
        <v>223810</v>
      </c>
      <c r="D9" s="12">
        <v>229473</v>
      </c>
      <c r="E9" s="13">
        <v>305.53899999999999</v>
      </c>
      <c r="F9" s="13">
        <v>2720.5160000000001</v>
      </c>
      <c r="G9" s="12">
        <v>294509</v>
      </c>
      <c r="H9" s="12">
        <v>319036</v>
      </c>
      <c r="I9" s="13">
        <v>357.84699999999998</v>
      </c>
      <c r="J9" s="13">
        <v>2617.3229999999999</v>
      </c>
      <c r="K9" s="12">
        <v>357821</v>
      </c>
      <c r="L9" s="12">
        <v>318986</v>
      </c>
      <c r="M9" s="13">
        <v>419.60500000000002</v>
      </c>
      <c r="N9" s="13">
        <v>2861.8609999999999</v>
      </c>
    </row>
    <row r="10" spans="1:14" s="4" customFormat="1" ht="19.5" customHeight="1" x14ac:dyDescent="0.25">
      <c r="A10" s="3">
        <v>5</v>
      </c>
      <c r="B10" s="14" t="s">
        <v>65</v>
      </c>
      <c r="C10" s="12">
        <v>57745</v>
      </c>
      <c r="D10" s="12">
        <v>57238</v>
      </c>
      <c r="E10" s="15">
        <v>46.403120000000001</v>
      </c>
      <c r="F10" s="15">
        <v>480.06620000000009</v>
      </c>
      <c r="G10" s="12">
        <v>68959</v>
      </c>
      <c r="H10" s="12">
        <v>82173</v>
      </c>
      <c r="I10" s="13">
        <v>20.449440000000003</v>
      </c>
      <c r="J10" s="13">
        <v>511.46264000000002</v>
      </c>
      <c r="K10" s="12">
        <v>76810</v>
      </c>
      <c r="L10" s="12">
        <v>75092</v>
      </c>
      <c r="M10" s="13">
        <v>22.526129999999998</v>
      </c>
      <c r="N10" s="13">
        <v>567.92009999999982</v>
      </c>
    </row>
    <row r="11" spans="1:14" s="4" customFormat="1" ht="19.5" customHeight="1" x14ac:dyDescent="0.25">
      <c r="A11" s="3">
        <v>6</v>
      </c>
      <c r="B11" s="14" t="s">
        <v>44</v>
      </c>
      <c r="C11" s="12">
        <v>26727</v>
      </c>
      <c r="D11" s="12">
        <v>27691</v>
      </c>
      <c r="E11" s="15">
        <v>388.14</v>
      </c>
      <c r="F11" s="15">
        <v>606.74199999999996</v>
      </c>
      <c r="G11" s="12">
        <v>32451</v>
      </c>
      <c r="H11" s="12">
        <v>35710</v>
      </c>
      <c r="I11" s="13">
        <v>549.76700000000005</v>
      </c>
      <c r="J11" s="13">
        <v>717.45399999999995</v>
      </c>
      <c r="K11" s="12">
        <v>39197</v>
      </c>
      <c r="L11" s="12">
        <v>37923</v>
      </c>
      <c r="M11" s="13">
        <v>524</v>
      </c>
      <c r="N11" s="13">
        <v>670.7</v>
      </c>
    </row>
    <row r="12" spans="1:14" ht="31.5" customHeight="1" x14ac:dyDescent="0.25">
      <c r="A12" s="28" t="s">
        <v>3</v>
      </c>
      <c r="B12" s="28"/>
      <c r="C12" s="5">
        <f t="shared" ref="C12:N12" si="0">SUM(C6:C11)</f>
        <v>703750</v>
      </c>
      <c r="D12" s="5">
        <f t="shared" si="0"/>
        <v>754427</v>
      </c>
      <c r="E12" s="6">
        <f t="shared" si="0"/>
        <v>4369.7541200000005</v>
      </c>
      <c r="F12" s="6">
        <f t="shared" si="0"/>
        <v>12587.434499999999</v>
      </c>
      <c r="G12" s="5">
        <f t="shared" si="0"/>
        <v>818998</v>
      </c>
      <c r="H12" s="5">
        <f t="shared" si="0"/>
        <v>911957</v>
      </c>
      <c r="I12" s="6">
        <f t="shared" si="0"/>
        <v>4773.10671</v>
      </c>
      <c r="J12" s="6">
        <f t="shared" si="0"/>
        <v>10926.16678</v>
      </c>
      <c r="K12" s="5">
        <f t="shared" si="0"/>
        <v>963859</v>
      </c>
      <c r="L12" s="5">
        <f t="shared" si="0"/>
        <v>872898</v>
      </c>
      <c r="M12" s="6">
        <f t="shared" si="0"/>
        <v>4786.9765900000002</v>
      </c>
      <c r="N12" s="6">
        <f t="shared" si="0"/>
        <v>10144.424190000002</v>
      </c>
    </row>
    <row r="13" spans="1:14" ht="28.5" customHeight="1" x14ac:dyDescent="0.25">
      <c r="A13" s="29" t="s">
        <v>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4" ht="24.75" customHeight="1" x14ac:dyDescent="0.25">
      <c r="A14" s="10">
        <v>1</v>
      </c>
      <c r="B14" s="11" t="s">
        <v>5</v>
      </c>
      <c r="C14" s="12">
        <v>0</v>
      </c>
      <c r="D14" s="12">
        <v>0</v>
      </c>
      <c r="E14" s="13">
        <v>0</v>
      </c>
      <c r="F14" s="13">
        <v>0</v>
      </c>
      <c r="G14" s="12">
        <v>2173</v>
      </c>
      <c r="H14" s="12">
        <v>2175</v>
      </c>
      <c r="I14" s="13">
        <v>10.154999999999999</v>
      </c>
      <c r="J14" s="13">
        <v>85.197000000000003</v>
      </c>
      <c r="K14" s="12">
        <v>2285</v>
      </c>
      <c r="L14" s="12">
        <v>2174</v>
      </c>
      <c r="M14" s="13">
        <v>28.411000000000001</v>
      </c>
      <c r="N14" s="13">
        <v>81.715999999999994</v>
      </c>
    </row>
    <row r="15" spans="1:14" ht="31.5" customHeight="1" x14ac:dyDescent="0.25">
      <c r="A15" s="10">
        <v>2</v>
      </c>
      <c r="B15" s="14" t="s">
        <v>6</v>
      </c>
      <c r="C15" s="12">
        <v>0</v>
      </c>
      <c r="D15" s="12">
        <v>0</v>
      </c>
      <c r="E15" s="15">
        <v>10293.205</v>
      </c>
      <c r="F15" s="15">
        <v>10455.057000000001</v>
      </c>
      <c r="G15" s="12">
        <v>0</v>
      </c>
      <c r="H15" s="12">
        <v>0</v>
      </c>
      <c r="I15" s="13">
        <v>10018.341</v>
      </c>
      <c r="J15" s="13">
        <v>9588.1679999999997</v>
      </c>
      <c r="K15" s="12">
        <v>0</v>
      </c>
      <c r="L15" s="12">
        <v>0</v>
      </c>
      <c r="M15" s="13">
        <v>9615.5830000000005</v>
      </c>
      <c r="N15" s="13">
        <v>8763.5570000000007</v>
      </c>
    </row>
    <row r="16" spans="1:14" ht="31.5" customHeight="1" x14ac:dyDescent="0.25">
      <c r="A16" s="10">
        <v>3</v>
      </c>
      <c r="B16" s="11" t="s">
        <v>7</v>
      </c>
      <c r="C16" s="12">
        <v>77877</v>
      </c>
      <c r="D16" s="12">
        <v>74689</v>
      </c>
      <c r="E16" s="13">
        <v>100.67100000000001</v>
      </c>
      <c r="F16" s="13">
        <v>1113.307</v>
      </c>
      <c r="G16" s="12">
        <v>81128</v>
      </c>
      <c r="H16" s="12">
        <v>82022</v>
      </c>
      <c r="I16" s="13">
        <v>82.28</v>
      </c>
      <c r="J16" s="13">
        <v>993.93700000000001</v>
      </c>
      <c r="K16" s="16">
        <v>82370</v>
      </c>
      <c r="L16" s="16">
        <v>73488</v>
      </c>
      <c r="M16" s="15">
        <v>88.123999999999995</v>
      </c>
      <c r="N16" s="15">
        <v>1015.226</v>
      </c>
    </row>
    <row r="17" spans="1:15" ht="31.5" customHeight="1" x14ac:dyDescent="0.25">
      <c r="A17" s="10">
        <v>4</v>
      </c>
      <c r="B17" s="11" t="s">
        <v>75</v>
      </c>
      <c r="C17" s="12">
        <v>10170</v>
      </c>
      <c r="D17" s="12">
        <v>10260</v>
      </c>
      <c r="E17" s="13">
        <v>0</v>
      </c>
      <c r="F17" s="13">
        <v>0</v>
      </c>
      <c r="G17" s="12">
        <v>15866</v>
      </c>
      <c r="H17" s="12">
        <v>18149</v>
      </c>
      <c r="I17" s="13">
        <v>26.08</v>
      </c>
      <c r="J17" s="13">
        <v>116.026</v>
      </c>
      <c r="K17" s="12">
        <v>21718</v>
      </c>
      <c r="L17" s="12">
        <v>17861</v>
      </c>
      <c r="M17" s="13">
        <v>6.3570000000000002</v>
      </c>
      <c r="N17" s="13">
        <v>169.74199999999999</v>
      </c>
      <c r="O17" s="7"/>
    </row>
    <row r="18" spans="1:15" ht="31.5" customHeight="1" x14ac:dyDescent="0.25">
      <c r="A18" s="10">
        <v>5</v>
      </c>
      <c r="B18" s="11" t="s">
        <v>66</v>
      </c>
      <c r="C18" s="12">
        <v>4369</v>
      </c>
      <c r="D18" s="12">
        <v>4044</v>
      </c>
      <c r="E18" s="13">
        <v>13.898999999999999</v>
      </c>
      <c r="F18" s="13">
        <v>75.180999999999997</v>
      </c>
      <c r="G18" s="12">
        <v>15212</v>
      </c>
      <c r="H18" s="12">
        <v>15783</v>
      </c>
      <c r="I18" s="13">
        <v>22.475999999999999</v>
      </c>
      <c r="J18" s="13">
        <v>181.68899999999999</v>
      </c>
      <c r="K18" s="12">
        <v>29348</v>
      </c>
      <c r="L18" s="12">
        <v>30932</v>
      </c>
      <c r="M18" s="13">
        <v>37.994999999999997</v>
      </c>
      <c r="N18" s="13">
        <v>229.16499999999999</v>
      </c>
    </row>
    <row r="19" spans="1:15" ht="31.5" customHeight="1" x14ac:dyDescent="0.25">
      <c r="A19" s="10">
        <v>6</v>
      </c>
      <c r="B19" s="11" t="s">
        <v>50</v>
      </c>
      <c r="C19" s="16">
        <v>152</v>
      </c>
      <c r="D19" s="16">
        <v>144</v>
      </c>
      <c r="E19" s="13">
        <v>74.402000000000001</v>
      </c>
      <c r="F19" s="13">
        <v>171.86</v>
      </c>
      <c r="G19" s="12">
        <v>899</v>
      </c>
      <c r="H19" s="12">
        <v>1151</v>
      </c>
      <c r="I19" s="13">
        <v>54.433999999999997</v>
      </c>
      <c r="J19" s="13">
        <v>104.524</v>
      </c>
      <c r="K19" s="12">
        <v>1167</v>
      </c>
      <c r="L19" s="12">
        <v>1507</v>
      </c>
      <c r="M19" s="13">
        <v>66.7</v>
      </c>
      <c r="N19" s="13">
        <v>162.876</v>
      </c>
    </row>
    <row r="20" spans="1:15" s="8" customFormat="1" ht="27.95" customHeight="1" x14ac:dyDescent="0.25">
      <c r="A20" s="10">
        <v>7</v>
      </c>
      <c r="B20" s="17" t="s">
        <v>67</v>
      </c>
      <c r="C20" s="16">
        <v>912</v>
      </c>
      <c r="D20" s="16">
        <v>1327</v>
      </c>
      <c r="E20" s="13">
        <v>2.4140000000000001</v>
      </c>
      <c r="F20" s="13">
        <v>32.235999999999997</v>
      </c>
      <c r="G20" s="12">
        <v>1560</v>
      </c>
      <c r="H20" s="12">
        <v>1924</v>
      </c>
      <c r="I20" s="13">
        <v>0.125</v>
      </c>
      <c r="J20" s="13">
        <v>42.329000000000001</v>
      </c>
      <c r="K20" s="12">
        <v>2589</v>
      </c>
      <c r="L20" s="12">
        <v>1564</v>
      </c>
      <c r="M20" s="13">
        <v>0.42</v>
      </c>
      <c r="N20" s="13">
        <v>51.39</v>
      </c>
    </row>
    <row r="21" spans="1:15" s="8" customFormat="1" ht="27.95" customHeight="1" x14ac:dyDescent="0.25">
      <c r="A21" s="10">
        <v>8</v>
      </c>
      <c r="B21" s="14" t="s">
        <v>84</v>
      </c>
      <c r="C21" s="12">
        <v>0</v>
      </c>
      <c r="D21" s="12">
        <v>0</v>
      </c>
      <c r="E21" s="13">
        <v>0</v>
      </c>
      <c r="F21" s="13">
        <v>0</v>
      </c>
      <c r="G21" s="16">
        <v>275</v>
      </c>
      <c r="H21" s="16">
        <v>361</v>
      </c>
      <c r="I21" s="15">
        <v>9.7000000000000003E-2</v>
      </c>
      <c r="J21" s="15">
        <v>2.57</v>
      </c>
      <c r="K21" s="16">
        <v>406</v>
      </c>
      <c r="L21" s="16">
        <v>559</v>
      </c>
      <c r="M21" s="15">
        <v>0.26600000000000001</v>
      </c>
      <c r="N21" s="15">
        <v>6.7889999999999997</v>
      </c>
    </row>
    <row r="22" spans="1:15" s="8" customFormat="1" ht="27.95" customHeight="1" x14ac:dyDescent="0.25">
      <c r="A22" s="10">
        <v>9</v>
      </c>
      <c r="B22" s="11" t="s">
        <v>45</v>
      </c>
      <c r="C22" s="12">
        <v>12265</v>
      </c>
      <c r="D22" s="12">
        <v>24490</v>
      </c>
      <c r="E22" s="13">
        <v>162.441</v>
      </c>
      <c r="F22" s="13">
        <v>226.27500000000001</v>
      </c>
      <c r="G22" s="12">
        <v>11566</v>
      </c>
      <c r="H22" s="12">
        <v>17576</v>
      </c>
      <c r="I22" s="13">
        <v>184.178</v>
      </c>
      <c r="J22" s="13">
        <v>215.74</v>
      </c>
      <c r="K22" s="12">
        <v>11196</v>
      </c>
      <c r="L22" s="12">
        <v>12143</v>
      </c>
      <c r="M22" s="13">
        <v>168.49199999999999</v>
      </c>
      <c r="N22" s="13">
        <v>193.785</v>
      </c>
    </row>
    <row r="23" spans="1:15" s="8" customFormat="1" ht="27.75" customHeight="1" x14ac:dyDescent="0.25">
      <c r="A23" s="10">
        <v>10</v>
      </c>
      <c r="B23" s="11" t="s">
        <v>46</v>
      </c>
      <c r="C23" s="12">
        <v>14247</v>
      </c>
      <c r="D23" s="12">
        <v>16226</v>
      </c>
      <c r="E23" s="13">
        <v>831.78800000000001</v>
      </c>
      <c r="F23" s="13">
        <v>935.90200000000004</v>
      </c>
      <c r="G23" s="12">
        <v>21397</v>
      </c>
      <c r="H23" s="12">
        <v>23982</v>
      </c>
      <c r="I23" s="13">
        <v>891.154</v>
      </c>
      <c r="J23" s="13">
        <v>997.947</v>
      </c>
      <c r="K23" s="12">
        <v>21539</v>
      </c>
      <c r="L23" s="12">
        <v>21874</v>
      </c>
      <c r="M23" s="13">
        <v>878.43299999999999</v>
      </c>
      <c r="N23" s="13">
        <v>1061.2560000000001</v>
      </c>
    </row>
    <row r="24" spans="1:15" s="8" customFormat="1" ht="27.75" customHeight="1" x14ac:dyDescent="0.25">
      <c r="A24" s="10">
        <v>11</v>
      </c>
      <c r="B24" s="11" t="s">
        <v>51</v>
      </c>
      <c r="C24" s="12">
        <v>4259</v>
      </c>
      <c r="D24" s="12">
        <v>5223</v>
      </c>
      <c r="E24" s="13">
        <v>39.811999999999998</v>
      </c>
      <c r="F24" s="13">
        <v>259.34399999999999</v>
      </c>
      <c r="G24" s="12">
        <v>5393</v>
      </c>
      <c r="H24" s="12">
        <v>6147</v>
      </c>
      <c r="I24" s="13">
        <v>32.392000000000003</v>
      </c>
      <c r="J24" s="13">
        <v>199.29300000000001</v>
      </c>
      <c r="K24" s="12">
        <v>5763</v>
      </c>
      <c r="L24" s="12">
        <v>5999</v>
      </c>
      <c r="M24" s="13">
        <v>21.254999999999999</v>
      </c>
      <c r="N24" s="13">
        <v>105.599</v>
      </c>
    </row>
    <row r="25" spans="1:15" s="8" customFormat="1" ht="27.75" customHeight="1" x14ac:dyDescent="0.25">
      <c r="A25" s="10">
        <v>12</v>
      </c>
      <c r="B25" s="17" t="s">
        <v>59</v>
      </c>
      <c r="C25" s="16">
        <v>170</v>
      </c>
      <c r="D25" s="16">
        <v>368</v>
      </c>
      <c r="E25" s="13">
        <v>6.0999999999999999E-2</v>
      </c>
      <c r="F25" s="13">
        <v>5.1929999999999996</v>
      </c>
      <c r="G25" s="12">
        <v>424</v>
      </c>
      <c r="H25" s="12">
        <v>750</v>
      </c>
      <c r="I25" s="13">
        <v>1.5880000000000001</v>
      </c>
      <c r="J25" s="13">
        <v>7.3680000000000003</v>
      </c>
      <c r="K25" s="12">
        <v>0</v>
      </c>
      <c r="L25" s="12">
        <v>0</v>
      </c>
      <c r="M25" s="13">
        <v>0</v>
      </c>
      <c r="N25" s="13">
        <v>0</v>
      </c>
    </row>
    <row r="26" spans="1:15" s="8" customFormat="1" ht="27.75" customHeight="1" x14ac:dyDescent="0.25">
      <c r="A26" s="10">
        <v>13</v>
      </c>
      <c r="B26" s="11" t="s">
        <v>76</v>
      </c>
      <c r="C26" s="12">
        <v>1484</v>
      </c>
      <c r="D26" s="12">
        <v>1739</v>
      </c>
      <c r="E26" s="13">
        <v>96.234999999999999</v>
      </c>
      <c r="F26" s="13">
        <v>61.1</v>
      </c>
      <c r="G26" s="12">
        <v>1745</v>
      </c>
      <c r="H26" s="12">
        <v>2529</v>
      </c>
      <c r="I26" s="13">
        <v>44.884999999999998</v>
      </c>
      <c r="J26" s="13">
        <v>61.865499999999997</v>
      </c>
      <c r="K26" s="12">
        <v>0</v>
      </c>
      <c r="L26" s="12">
        <v>0</v>
      </c>
      <c r="M26" s="13">
        <v>0</v>
      </c>
      <c r="N26" s="13">
        <v>0</v>
      </c>
    </row>
    <row r="27" spans="1:15" s="8" customFormat="1" ht="27.75" customHeight="1" x14ac:dyDescent="0.25">
      <c r="A27" s="10">
        <v>14</v>
      </c>
      <c r="B27" s="11" t="s">
        <v>49</v>
      </c>
      <c r="C27" s="12">
        <v>1193</v>
      </c>
      <c r="D27" s="12">
        <v>2382</v>
      </c>
      <c r="E27" s="13">
        <v>169.86</v>
      </c>
      <c r="F27" s="13">
        <v>268.72399999999999</v>
      </c>
      <c r="G27" s="12">
        <v>806</v>
      </c>
      <c r="H27" s="12">
        <v>3194</v>
      </c>
      <c r="I27" s="13">
        <v>233.44</v>
      </c>
      <c r="J27" s="13">
        <v>329.154</v>
      </c>
      <c r="K27" s="12">
        <v>1594</v>
      </c>
      <c r="L27" s="12">
        <v>2606</v>
      </c>
      <c r="M27" s="13">
        <v>214.52099999999999</v>
      </c>
      <c r="N27" s="13">
        <v>288.26400000000001</v>
      </c>
    </row>
    <row r="28" spans="1:15" s="8" customFormat="1" ht="27.75" customHeight="1" x14ac:dyDescent="0.25">
      <c r="A28" s="10">
        <v>15</v>
      </c>
      <c r="B28" s="11" t="s">
        <v>77</v>
      </c>
      <c r="C28" s="12">
        <v>6213</v>
      </c>
      <c r="D28" s="12">
        <v>7795</v>
      </c>
      <c r="E28" s="13">
        <v>146.29599999999999</v>
      </c>
      <c r="F28" s="13">
        <v>41.05</v>
      </c>
      <c r="G28" s="12">
        <v>0</v>
      </c>
      <c r="H28" s="12">
        <v>0</v>
      </c>
      <c r="I28" s="13">
        <v>0</v>
      </c>
      <c r="J28" s="13">
        <v>0</v>
      </c>
      <c r="K28" s="12">
        <v>0</v>
      </c>
      <c r="L28" s="12">
        <v>0</v>
      </c>
      <c r="M28" s="13">
        <v>0</v>
      </c>
      <c r="N28" s="13">
        <v>0</v>
      </c>
    </row>
    <row r="29" spans="1:15" s="8" customFormat="1" ht="27.75" customHeight="1" x14ac:dyDescent="0.25">
      <c r="A29" s="10">
        <v>16</v>
      </c>
      <c r="B29" s="11" t="s">
        <v>78</v>
      </c>
      <c r="C29" s="12">
        <v>0</v>
      </c>
      <c r="D29" s="12">
        <v>0</v>
      </c>
      <c r="E29" s="13">
        <v>0</v>
      </c>
      <c r="F29" s="13">
        <v>0</v>
      </c>
      <c r="G29" s="12">
        <v>0</v>
      </c>
      <c r="H29" s="12">
        <v>0</v>
      </c>
      <c r="I29" s="13">
        <v>0</v>
      </c>
      <c r="J29" s="13">
        <v>0</v>
      </c>
      <c r="K29" s="12">
        <v>3</v>
      </c>
      <c r="L29" s="12">
        <v>64</v>
      </c>
      <c r="M29" s="13">
        <v>0</v>
      </c>
      <c r="N29" s="13">
        <v>1.218</v>
      </c>
    </row>
    <row r="30" spans="1:15" s="8" customFormat="1" ht="27.75" customHeight="1" x14ac:dyDescent="0.25">
      <c r="A30" s="10">
        <v>17</v>
      </c>
      <c r="B30" s="11" t="s">
        <v>8</v>
      </c>
      <c r="C30" s="12">
        <v>6663</v>
      </c>
      <c r="D30" s="12">
        <v>5848</v>
      </c>
      <c r="E30" s="13">
        <v>10.76</v>
      </c>
      <c r="F30" s="13">
        <v>144.15199999999999</v>
      </c>
      <c r="G30" s="12">
        <v>5901</v>
      </c>
      <c r="H30" s="12">
        <v>7608</v>
      </c>
      <c r="I30" s="13">
        <v>5.9859999999999998</v>
      </c>
      <c r="J30" s="13">
        <v>69.433999999999997</v>
      </c>
      <c r="K30" s="12">
        <v>6122</v>
      </c>
      <c r="L30" s="12">
        <v>8148</v>
      </c>
      <c r="M30" s="13">
        <v>8.1709999999999994</v>
      </c>
      <c r="N30" s="13">
        <v>107.625</v>
      </c>
    </row>
    <row r="31" spans="1:15" s="8" customFormat="1" ht="27.75" customHeight="1" x14ac:dyDescent="0.25">
      <c r="A31" s="10">
        <v>18</v>
      </c>
      <c r="B31" s="11" t="s">
        <v>85</v>
      </c>
      <c r="C31" s="12">
        <v>15942</v>
      </c>
      <c r="D31" s="12">
        <v>19063</v>
      </c>
      <c r="E31" s="13">
        <v>745.19</v>
      </c>
      <c r="F31" s="13">
        <v>1243.76</v>
      </c>
      <c r="G31" s="12">
        <v>21569</v>
      </c>
      <c r="H31" s="12">
        <v>26015</v>
      </c>
      <c r="I31" s="13">
        <v>1099.8599999999999</v>
      </c>
      <c r="J31" s="13">
        <v>1912.42</v>
      </c>
      <c r="K31" s="12">
        <v>34443</v>
      </c>
      <c r="L31" s="12">
        <v>36916</v>
      </c>
      <c r="M31" s="15">
        <v>1236.28</v>
      </c>
      <c r="N31" s="15">
        <v>2156.37</v>
      </c>
    </row>
    <row r="32" spans="1:15" s="8" customFormat="1" ht="27.75" customHeight="1" x14ac:dyDescent="0.25">
      <c r="A32" s="10">
        <v>19</v>
      </c>
      <c r="B32" s="11" t="s">
        <v>86</v>
      </c>
      <c r="C32" s="12">
        <v>0</v>
      </c>
      <c r="D32" s="12">
        <v>0</v>
      </c>
      <c r="E32" s="13">
        <v>0</v>
      </c>
      <c r="F32" s="13">
        <v>0</v>
      </c>
      <c r="G32" s="12">
        <v>154</v>
      </c>
      <c r="H32" s="12">
        <v>120</v>
      </c>
      <c r="I32" s="13">
        <v>0</v>
      </c>
      <c r="J32" s="13">
        <v>0</v>
      </c>
      <c r="K32" s="12">
        <v>401</v>
      </c>
      <c r="L32" s="12">
        <v>365</v>
      </c>
      <c r="M32" s="13">
        <v>0</v>
      </c>
      <c r="N32" s="13">
        <v>0</v>
      </c>
    </row>
    <row r="33" spans="1:14" s="8" customFormat="1" ht="27.75" customHeight="1" x14ac:dyDescent="0.25">
      <c r="A33" s="10">
        <v>20</v>
      </c>
      <c r="B33" s="11" t="s">
        <v>9</v>
      </c>
      <c r="C33" s="12">
        <v>0</v>
      </c>
      <c r="D33" s="12">
        <v>0</v>
      </c>
      <c r="E33" s="13">
        <v>7567.2886000000008</v>
      </c>
      <c r="F33" s="13">
        <v>3675.4393500000001</v>
      </c>
      <c r="G33" s="16">
        <v>254</v>
      </c>
      <c r="H33" s="16">
        <v>1098</v>
      </c>
      <c r="I33" s="13">
        <v>7086.0169999999989</v>
      </c>
      <c r="J33" s="13">
        <v>3354.1190999999994</v>
      </c>
      <c r="K33" s="12">
        <v>3164</v>
      </c>
      <c r="L33" s="12">
        <v>2188</v>
      </c>
      <c r="M33" s="13">
        <v>6547.3563999999997</v>
      </c>
      <c r="N33" s="13">
        <v>3016.0734199999997</v>
      </c>
    </row>
    <row r="34" spans="1:14" s="8" customFormat="1" ht="27.75" customHeight="1" x14ac:dyDescent="0.25">
      <c r="A34" s="10">
        <v>21</v>
      </c>
      <c r="B34" s="11" t="s">
        <v>68</v>
      </c>
      <c r="C34" s="12">
        <v>0</v>
      </c>
      <c r="D34" s="12">
        <v>0</v>
      </c>
      <c r="E34" s="13">
        <v>206.37299999999999</v>
      </c>
      <c r="F34" s="13">
        <v>267.14800000000002</v>
      </c>
      <c r="G34" s="16">
        <v>0</v>
      </c>
      <c r="H34" s="16">
        <v>0</v>
      </c>
      <c r="I34" s="13">
        <v>196.34399999999999</v>
      </c>
      <c r="J34" s="13">
        <v>246.602</v>
      </c>
      <c r="K34" s="12">
        <v>0</v>
      </c>
      <c r="L34" s="12">
        <v>0</v>
      </c>
      <c r="M34" s="13">
        <v>222.363</v>
      </c>
      <c r="N34" s="13">
        <v>262.12900000000002</v>
      </c>
    </row>
    <row r="35" spans="1:14" s="8" customFormat="1" ht="27.75" customHeight="1" x14ac:dyDescent="0.25">
      <c r="A35" s="10">
        <v>22</v>
      </c>
      <c r="B35" s="14" t="s">
        <v>10</v>
      </c>
      <c r="C35" s="12">
        <v>1003</v>
      </c>
      <c r="D35" s="12">
        <v>795</v>
      </c>
      <c r="E35" s="13">
        <v>0.31</v>
      </c>
      <c r="F35" s="13">
        <v>4.9133999999999993</v>
      </c>
      <c r="G35" s="12">
        <v>1342</v>
      </c>
      <c r="H35" s="12">
        <v>1210</v>
      </c>
      <c r="I35" s="13">
        <v>0.17499999999999999</v>
      </c>
      <c r="J35" s="13">
        <v>6.8383000000000003</v>
      </c>
      <c r="K35" s="12">
        <v>1467</v>
      </c>
      <c r="L35" s="12">
        <v>1517</v>
      </c>
      <c r="M35" s="13">
        <v>8.4000000000000005E-2</v>
      </c>
      <c r="N35" s="13">
        <v>6.7646999999999995</v>
      </c>
    </row>
    <row r="36" spans="1:14" s="8" customFormat="1" ht="27.95" customHeight="1" x14ac:dyDescent="0.25">
      <c r="A36" s="10">
        <v>23</v>
      </c>
      <c r="B36" s="11" t="s">
        <v>61</v>
      </c>
      <c r="C36" s="12">
        <v>0</v>
      </c>
      <c r="D36" s="12">
        <v>0</v>
      </c>
      <c r="E36" s="13">
        <v>399.25299999999999</v>
      </c>
      <c r="F36" s="13">
        <v>397.20800000000003</v>
      </c>
      <c r="G36" s="12">
        <v>888</v>
      </c>
      <c r="H36" s="12">
        <v>2007</v>
      </c>
      <c r="I36" s="13">
        <v>395</v>
      </c>
      <c r="J36" s="13">
        <v>368.60700000000003</v>
      </c>
      <c r="K36" s="12">
        <v>1626</v>
      </c>
      <c r="L36" s="12">
        <v>2282</v>
      </c>
      <c r="M36" s="13">
        <v>220.46299999999999</v>
      </c>
      <c r="N36" s="13">
        <v>321.00799999999998</v>
      </c>
    </row>
    <row r="37" spans="1:14" s="8" customFormat="1" ht="27.95" customHeight="1" x14ac:dyDescent="0.25">
      <c r="A37" s="10">
        <v>24</v>
      </c>
      <c r="B37" s="11" t="s">
        <v>40</v>
      </c>
      <c r="C37" s="12">
        <v>180268</v>
      </c>
      <c r="D37" s="12">
        <v>220554</v>
      </c>
      <c r="E37" s="13">
        <v>5876.282897</v>
      </c>
      <c r="F37" s="13">
        <v>9971.3099110000003</v>
      </c>
      <c r="G37" s="12">
        <v>198955</v>
      </c>
      <c r="H37" s="12">
        <v>239980</v>
      </c>
      <c r="I37" s="13">
        <v>5823.3437079999994</v>
      </c>
      <c r="J37" s="13">
        <v>9163.5983579999993</v>
      </c>
      <c r="K37" s="12">
        <v>234688</v>
      </c>
      <c r="L37" s="12">
        <v>211642</v>
      </c>
      <c r="M37" s="13">
        <v>4762.2209549999998</v>
      </c>
      <c r="N37" s="13">
        <v>8465.2218580000008</v>
      </c>
    </row>
    <row r="38" spans="1:14" s="8" customFormat="1" ht="27.95" customHeight="1" x14ac:dyDescent="0.25">
      <c r="A38" s="10">
        <v>25</v>
      </c>
      <c r="B38" s="17" t="s">
        <v>41</v>
      </c>
      <c r="C38" s="12">
        <v>11212</v>
      </c>
      <c r="D38" s="12">
        <v>12231</v>
      </c>
      <c r="E38" s="13">
        <v>409.22500000000002</v>
      </c>
      <c r="F38" s="13">
        <v>1545.7090000000001</v>
      </c>
      <c r="G38" s="16">
        <v>11173</v>
      </c>
      <c r="H38" s="16">
        <v>14885</v>
      </c>
      <c r="I38" s="13">
        <v>373.45600000000002</v>
      </c>
      <c r="J38" s="13">
        <v>1334.9829999999999</v>
      </c>
      <c r="K38" s="12">
        <v>14146</v>
      </c>
      <c r="L38" s="12">
        <v>15567</v>
      </c>
      <c r="M38" s="13">
        <v>419.58</v>
      </c>
      <c r="N38" s="13">
        <v>1073.0709999999999</v>
      </c>
    </row>
    <row r="39" spans="1:14" s="8" customFormat="1" ht="27.95" customHeight="1" x14ac:dyDescent="0.25">
      <c r="A39" s="10">
        <v>26</v>
      </c>
      <c r="B39" s="14" t="s">
        <v>11</v>
      </c>
      <c r="C39" s="12">
        <v>38569</v>
      </c>
      <c r="D39" s="12">
        <v>42911</v>
      </c>
      <c r="E39" s="13">
        <v>852.99619999999993</v>
      </c>
      <c r="F39" s="13">
        <v>1676.6205</v>
      </c>
      <c r="G39" s="12">
        <v>41927</v>
      </c>
      <c r="H39" s="12">
        <v>51098</v>
      </c>
      <c r="I39" s="13">
        <v>1130.2903000000001</v>
      </c>
      <c r="J39" s="13">
        <v>1832.4659999999999</v>
      </c>
      <c r="K39" s="12">
        <v>0</v>
      </c>
      <c r="L39" s="12">
        <v>0</v>
      </c>
      <c r="M39" s="13">
        <v>0</v>
      </c>
      <c r="N39" s="13">
        <v>0</v>
      </c>
    </row>
    <row r="40" spans="1:14" s="8" customFormat="1" ht="27.95" customHeight="1" x14ac:dyDescent="0.25">
      <c r="A40" s="10">
        <v>27</v>
      </c>
      <c r="B40" s="11" t="s">
        <v>12</v>
      </c>
      <c r="C40" s="12">
        <v>0</v>
      </c>
      <c r="D40" s="12">
        <v>0</v>
      </c>
      <c r="E40" s="13">
        <v>1629.905</v>
      </c>
      <c r="F40" s="13">
        <v>3171.482</v>
      </c>
      <c r="G40" s="12">
        <v>0</v>
      </c>
      <c r="H40" s="12">
        <v>0</v>
      </c>
      <c r="I40" s="13">
        <v>1542.29</v>
      </c>
      <c r="J40" s="13">
        <v>2914.701</v>
      </c>
      <c r="K40" s="12">
        <v>0</v>
      </c>
      <c r="L40" s="12">
        <v>0</v>
      </c>
      <c r="M40" s="13">
        <v>1515.173</v>
      </c>
      <c r="N40" s="13">
        <v>2978.038</v>
      </c>
    </row>
    <row r="41" spans="1:14" s="8" customFormat="1" ht="27.95" customHeight="1" x14ac:dyDescent="0.25">
      <c r="A41" s="10">
        <v>28</v>
      </c>
      <c r="B41" s="11" t="s">
        <v>69</v>
      </c>
      <c r="C41" s="12">
        <v>3848</v>
      </c>
      <c r="D41" s="12">
        <v>5253</v>
      </c>
      <c r="E41" s="13">
        <v>235.161</v>
      </c>
      <c r="F41" s="13">
        <v>255.72200000000001</v>
      </c>
      <c r="G41" s="12">
        <v>3252</v>
      </c>
      <c r="H41" s="12">
        <v>5505</v>
      </c>
      <c r="I41" s="13">
        <v>250.70400000000001</v>
      </c>
      <c r="J41" s="13">
        <v>269.22199999999998</v>
      </c>
      <c r="K41" s="12">
        <v>7737</v>
      </c>
      <c r="L41" s="12">
        <v>7891</v>
      </c>
      <c r="M41" s="13">
        <v>428.06700000000001</v>
      </c>
      <c r="N41" s="13">
        <v>288.99200000000002</v>
      </c>
    </row>
    <row r="42" spans="1:14" s="8" customFormat="1" ht="27.95" customHeight="1" x14ac:dyDescent="0.25">
      <c r="A42" s="10">
        <v>29</v>
      </c>
      <c r="B42" s="11" t="s">
        <v>55</v>
      </c>
      <c r="C42" s="12">
        <v>19557</v>
      </c>
      <c r="D42" s="12">
        <v>20830</v>
      </c>
      <c r="E42" s="13">
        <v>27.763999999999999</v>
      </c>
      <c r="F42" s="13">
        <v>198.434</v>
      </c>
      <c r="G42" s="12">
        <v>17355</v>
      </c>
      <c r="H42" s="12">
        <v>20341</v>
      </c>
      <c r="I42" s="13">
        <v>17.709</v>
      </c>
      <c r="J42" s="13">
        <v>204.893</v>
      </c>
      <c r="K42" s="12">
        <v>20892</v>
      </c>
      <c r="L42" s="12">
        <v>17420</v>
      </c>
      <c r="M42" s="15">
        <v>16.004999999999999</v>
      </c>
      <c r="N42" s="15">
        <v>258.84899999999999</v>
      </c>
    </row>
    <row r="43" spans="1:14" s="8" customFormat="1" ht="27.95" customHeight="1" x14ac:dyDescent="0.25">
      <c r="A43" s="10">
        <v>30</v>
      </c>
      <c r="B43" s="11" t="s">
        <v>70</v>
      </c>
      <c r="C43" s="12">
        <v>9388</v>
      </c>
      <c r="D43" s="12">
        <v>10895</v>
      </c>
      <c r="E43" s="13">
        <v>80.515000000000001</v>
      </c>
      <c r="F43" s="13">
        <v>126.117</v>
      </c>
      <c r="G43" s="12">
        <v>7109</v>
      </c>
      <c r="H43" s="12">
        <v>12756</v>
      </c>
      <c r="I43" s="13">
        <v>49.985999999999997</v>
      </c>
      <c r="J43" s="13">
        <v>126.57899999999999</v>
      </c>
      <c r="K43" s="12">
        <v>10194</v>
      </c>
      <c r="L43" s="12">
        <v>11858</v>
      </c>
      <c r="M43" s="15">
        <v>49.676000000000002</v>
      </c>
      <c r="N43" s="15">
        <v>120.27800000000001</v>
      </c>
    </row>
    <row r="44" spans="1:14" s="8" customFormat="1" ht="27.95" customHeight="1" x14ac:dyDescent="0.25">
      <c r="A44" s="10">
        <v>31</v>
      </c>
      <c r="B44" s="11" t="s">
        <v>42</v>
      </c>
      <c r="C44" s="12">
        <v>24745</v>
      </c>
      <c r="D44" s="12">
        <v>29508</v>
      </c>
      <c r="E44" s="13">
        <v>22.376000000000001</v>
      </c>
      <c r="F44" s="13">
        <v>335.50799999999998</v>
      </c>
      <c r="G44" s="12">
        <v>35302</v>
      </c>
      <c r="H44" s="12">
        <v>48508</v>
      </c>
      <c r="I44" s="13">
        <v>69.486999999999995</v>
      </c>
      <c r="J44" s="13">
        <v>566.55799999999999</v>
      </c>
      <c r="K44" s="12">
        <v>42362</v>
      </c>
      <c r="L44" s="12">
        <v>49287</v>
      </c>
      <c r="M44" s="15">
        <v>46.67</v>
      </c>
      <c r="N44" s="15">
        <v>587.85</v>
      </c>
    </row>
    <row r="45" spans="1:14" s="8" customFormat="1" ht="27.95" customHeight="1" x14ac:dyDescent="0.25">
      <c r="A45" s="10">
        <v>32</v>
      </c>
      <c r="B45" s="11" t="s">
        <v>13</v>
      </c>
      <c r="C45" s="12">
        <v>131</v>
      </c>
      <c r="D45" s="12">
        <v>245</v>
      </c>
      <c r="E45" s="13">
        <v>0.32600000000000001</v>
      </c>
      <c r="F45" s="13">
        <v>5.5940000000000003</v>
      </c>
      <c r="G45" s="12">
        <v>450</v>
      </c>
      <c r="H45" s="12">
        <v>909</v>
      </c>
      <c r="I45" s="13">
        <v>3.5999999999999997E-2</v>
      </c>
      <c r="J45" s="13">
        <v>9.0630000000000006</v>
      </c>
      <c r="K45" s="12">
        <v>681</v>
      </c>
      <c r="L45" s="12">
        <v>448</v>
      </c>
      <c r="M45" s="15">
        <v>0.108</v>
      </c>
      <c r="N45" s="15">
        <v>7.7880000000000003</v>
      </c>
    </row>
    <row r="46" spans="1:14" s="8" customFormat="1" ht="27.95" customHeight="1" x14ac:dyDescent="0.25">
      <c r="A46" s="10">
        <v>33</v>
      </c>
      <c r="B46" s="11" t="s">
        <v>14</v>
      </c>
      <c r="C46" s="12">
        <v>1716</v>
      </c>
      <c r="D46" s="12">
        <v>1787</v>
      </c>
      <c r="E46" s="13">
        <v>0</v>
      </c>
      <c r="F46" s="13">
        <v>2.4500000000000002</v>
      </c>
      <c r="G46" s="12">
        <v>1527</v>
      </c>
      <c r="H46" s="12">
        <v>1551</v>
      </c>
      <c r="I46" s="13">
        <v>0</v>
      </c>
      <c r="J46" s="13">
        <v>1.8</v>
      </c>
      <c r="K46" s="12">
        <v>2103</v>
      </c>
      <c r="L46" s="12">
        <v>1751</v>
      </c>
      <c r="M46" s="15">
        <v>0</v>
      </c>
      <c r="N46" s="15">
        <v>1.47</v>
      </c>
    </row>
    <row r="47" spans="1:14" s="8" customFormat="1" ht="27.95" customHeight="1" x14ac:dyDescent="0.25">
      <c r="A47" s="10">
        <v>34</v>
      </c>
      <c r="B47" s="11" t="s">
        <v>15</v>
      </c>
      <c r="C47" s="12">
        <v>2208</v>
      </c>
      <c r="D47" s="12">
        <v>2373</v>
      </c>
      <c r="E47" s="13">
        <v>0.124</v>
      </c>
      <c r="F47" s="13">
        <v>115.702</v>
      </c>
      <c r="G47" s="12">
        <v>3829</v>
      </c>
      <c r="H47" s="12">
        <v>3006</v>
      </c>
      <c r="I47" s="13">
        <v>0.36599999999999999</v>
      </c>
      <c r="J47" s="13">
        <v>109.84099999999999</v>
      </c>
      <c r="K47" s="12">
        <v>4678</v>
      </c>
      <c r="L47" s="12">
        <v>3640</v>
      </c>
      <c r="M47" s="15">
        <v>0.10199999999999999</v>
      </c>
      <c r="N47" s="15">
        <v>107.38800000000001</v>
      </c>
    </row>
    <row r="48" spans="1:14" s="8" customFormat="1" ht="27.95" customHeight="1" x14ac:dyDescent="0.25">
      <c r="A48" s="10">
        <v>35</v>
      </c>
      <c r="B48" s="11" t="s">
        <v>16</v>
      </c>
      <c r="C48" s="12">
        <v>1451</v>
      </c>
      <c r="D48" s="12">
        <v>2964</v>
      </c>
      <c r="E48" s="13">
        <v>231.018</v>
      </c>
      <c r="F48" s="13">
        <v>201.792</v>
      </c>
      <c r="G48" s="12">
        <v>1264</v>
      </c>
      <c r="H48" s="12">
        <v>3173</v>
      </c>
      <c r="I48" s="13">
        <v>305.10899999999998</v>
      </c>
      <c r="J48" s="13">
        <v>183.7</v>
      </c>
      <c r="K48" s="12">
        <v>1606</v>
      </c>
      <c r="L48" s="12">
        <v>2259</v>
      </c>
      <c r="M48" s="15">
        <v>263.608</v>
      </c>
      <c r="N48" s="15">
        <v>140.19499999999999</v>
      </c>
    </row>
    <row r="49" spans="1:14" s="8" customFormat="1" ht="27.95" customHeight="1" x14ac:dyDescent="0.25">
      <c r="A49" s="10">
        <v>36</v>
      </c>
      <c r="B49" s="11" t="s">
        <v>60</v>
      </c>
      <c r="C49" s="12">
        <v>14244</v>
      </c>
      <c r="D49" s="12">
        <v>15110</v>
      </c>
      <c r="E49" s="13">
        <v>22.292000000000002</v>
      </c>
      <c r="F49" s="13">
        <v>314.92540000000002</v>
      </c>
      <c r="G49" s="12">
        <v>14447</v>
      </c>
      <c r="H49" s="12">
        <v>14839</v>
      </c>
      <c r="I49" s="13">
        <v>39.646000000000001</v>
      </c>
      <c r="J49" s="13">
        <v>243.32300000000001</v>
      </c>
      <c r="K49" s="12">
        <v>18723</v>
      </c>
      <c r="L49" s="12">
        <v>16166</v>
      </c>
      <c r="M49" s="15">
        <v>11.151999999999999</v>
      </c>
      <c r="N49" s="15">
        <v>269.20499999999998</v>
      </c>
    </row>
    <row r="50" spans="1:14" s="8" customFormat="1" ht="27.95" customHeight="1" x14ac:dyDescent="0.25">
      <c r="A50" s="10">
        <v>37</v>
      </c>
      <c r="B50" s="11" t="s">
        <v>17</v>
      </c>
      <c r="C50" s="12">
        <v>2547</v>
      </c>
      <c r="D50" s="12">
        <v>3155</v>
      </c>
      <c r="E50" s="13">
        <v>1.02</v>
      </c>
      <c r="F50" s="13">
        <v>2.5880000000000001</v>
      </c>
      <c r="G50" s="12">
        <v>3557</v>
      </c>
      <c r="H50" s="12">
        <v>4922</v>
      </c>
      <c r="I50" s="13">
        <v>0.72799999999999998</v>
      </c>
      <c r="J50" s="13">
        <v>4.2569999999999997</v>
      </c>
      <c r="K50" s="12">
        <v>4720</v>
      </c>
      <c r="L50" s="12">
        <v>4925</v>
      </c>
      <c r="M50" s="15">
        <v>1.7390000000000001</v>
      </c>
      <c r="N50" s="15">
        <v>6.0780000000000003</v>
      </c>
    </row>
    <row r="51" spans="1:14" s="8" customFormat="1" ht="27.95" customHeight="1" x14ac:dyDescent="0.25">
      <c r="A51" s="10">
        <v>38</v>
      </c>
      <c r="B51" s="11" t="s">
        <v>47</v>
      </c>
      <c r="C51" s="12">
        <v>10986</v>
      </c>
      <c r="D51" s="12">
        <v>12392</v>
      </c>
      <c r="E51" s="13">
        <v>552.96199999999999</v>
      </c>
      <c r="F51" s="13">
        <v>532.66800000000001</v>
      </c>
      <c r="G51" s="12">
        <v>19293</v>
      </c>
      <c r="H51" s="12">
        <v>20803</v>
      </c>
      <c r="I51" s="13">
        <v>680.755</v>
      </c>
      <c r="J51" s="13">
        <v>856.69299999999998</v>
      </c>
      <c r="K51" s="12">
        <v>25742</v>
      </c>
      <c r="L51" s="12">
        <v>25320</v>
      </c>
      <c r="M51" s="15">
        <v>840.60299999999995</v>
      </c>
      <c r="N51" s="15">
        <v>1132.864</v>
      </c>
    </row>
    <row r="52" spans="1:14" s="8" customFormat="1" ht="27.95" customHeight="1" x14ac:dyDescent="0.25">
      <c r="A52" s="10">
        <v>39</v>
      </c>
      <c r="B52" s="11" t="s">
        <v>18</v>
      </c>
      <c r="C52" s="12">
        <v>0</v>
      </c>
      <c r="D52" s="12">
        <v>0</v>
      </c>
      <c r="E52" s="13">
        <v>0</v>
      </c>
      <c r="F52" s="13">
        <v>0</v>
      </c>
      <c r="G52" s="12">
        <v>456</v>
      </c>
      <c r="H52" s="12">
        <v>1127</v>
      </c>
      <c r="I52" s="13">
        <v>145.44900000000001</v>
      </c>
      <c r="J52" s="13">
        <v>154.054</v>
      </c>
      <c r="K52" s="12">
        <v>779</v>
      </c>
      <c r="L52" s="12">
        <v>1782</v>
      </c>
      <c r="M52" s="15">
        <v>188.83699999999999</v>
      </c>
      <c r="N52" s="15">
        <v>150.43199999999999</v>
      </c>
    </row>
    <row r="53" spans="1:14" s="8" customFormat="1" ht="27.95" customHeight="1" x14ac:dyDescent="0.25">
      <c r="A53" s="10">
        <v>40</v>
      </c>
      <c r="B53" s="11" t="s">
        <v>52</v>
      </c>
      <c r="C53" s="12">
        <v>18628</v>
      </c>
      <c r="D53" s="12">
        <v>19662</v>
      </c>
      <c r="E53" s="13">
        <v>0</v>
      </c>
      <c r="F53" s="13">
        <v>1031.508</v>
      </c>
      <c r="G53" s="12">
        <v>18326</v>
      </c>
      <c r="H53" s="12">
        <v>20602</v>
      </c>
      <c r="I53" s="13">
        <v>0</v>
      </c>
      <c r="J53" s="13">
        <v>994.13199999999995</v>
      </c>
      <c r="K53" s="12">
        <v>21972</v>
      </c>
      <c r="L53" s="12">
        <v>19022</v>
      </c>
      <c r="M53" s="13">
        <v>0</v>
      </c>
      <c r="N53" s="13">
        <v>842.12</v>
      </c>
    </row>
    <row r="54" spans="1:14" s="8" customFormat="1" ht="27.95" customHeight="1" x14ac:dyDescent="0.25">
      <c r="A54" s="10">
        <v>41</v>
      </c>
      <c r="B54" s="11" t="s">
        <v>53</v>
      </c>
      <c r="C54" s="12">
        <v>2209</v>
      </c>
      <c r="D54" s="12">
        <v>4304</v>
      </c>
      <c r="E54" s="13">
        <v>116.515</v>
      </c>
      <c r="F54" s="13">
        <v>251.673</v>
      </c>
      <c r="G54" s="12">
        <v>1836</v>
      </c>
      <c r="H54" s="12">
        <v>4594</v>
      </c>
      <c r="I54" s="13">
        <v>108.857</v>
      </c>
      <c r="J54" s="13">
        <v>295.39800000000002</v>
      </c>
      <c r="K54" s="12">
        <v>4083</v>
      </c>
      <c r="L54" s="12">
        <v>4820</v>
      </c>
      <c r="M54" s="13">
        <v>152.154</v>
      </c>
      <c r="N54" s="13">
        <v>333.33499999999998</v>
      </c>
    </row>
    <row r="55" spans="1:14" s="8" customFormat="1" ht="27.95" customHeight="1" x14ac:dyDescent="0.25">
      <c r="A55" s="10">
        <v>42</v>
      </c>
      <c r="B55" s="11" t="s">
        <v>19</v>
      </c>
      <c r="C55" s="12">
        <v>24631</v>
      </c>
      <c r="D55" s="12">
        <v>32073</v>
      </c>
      <c r="E55" s="13">
        <v>1599.51</v>
      </c>
      <c r="F55" s="13">
        <v>1096.952</v>
      </c>
      <c r="G55" s="12">
        <v>35653</v>
      </c>
      <c r="H55" s="12">
        <v>45206</v>
      </c>
      <c r="I55" s="13">
        <v>2029.0709999999999</v>
      </c>
      <c r="J55" s="13">
        <v>1565.2950000000001</v>
      </c>
      <c r="K55" s="12">
        <v>38809</v>
      </c>
      <c r="L55" s="12">
        <v>41540</v>
      </c>
      <c r="M55" s="13">
        <v>1709.663</v>
      </c>
      <c r="N55" s="13">
        <v>1298.653</v>
      </c>
    </row>
    <row r="56" spans="1:14" s="8" customFormat="1" ht="27.95" customHeight="1" x14ac:dyDescent="0.25">
      <c r="A56" s="10">
        <v>43</v>
      </c>
      <c r="B56" s="11" t="s">
        <v>20</v>
      </c>
      <c r="C56" s="12">
        <v>741</v>
      </c>
      <c r="D56" s="12">
        <v>592</v>
      </c>
      <c r="E56" s="13">
        <v>14.177899999999999</v>
      </c>
      <c r="F56" s="13">
        <v>96.715000000000003</v>
      </c>
      <c r="G56" s="12">
        <v>646</v>
      </c>
      <c r="H56" s="12">
        <v>753</v>
      </c>
      <c r="I56" s="13">
        <v>10.7172</v>
      </c>
      <c r="J56" s="13">
        <v>61.218000000000004</v>
      </c>
      <c r="K56" s="12">
        <v>1475</v>
      </c>
      <c r="L56" s="12">
        <v>956</v>
      </c>
      <c r="M56" s="13">
        <v>6.5376000000000003</v>
      </c>
      <c r="N56" s="13">
        <v>88.524000000000001</v>
      </c>
    </row>
    <row r="57" spans="1:14" s="8" customFormat="1" ht="27.95" customHeight="1" x14ac:dyDescent="0.25">
      <c r="A57" s="10">
        <v>44</v>
      </c>
      <c r="B57" s="11" t="s">
        <v>21</v>
      </c>
      <c r="C57" s="12">
        <v>13511</v>
      </c>
      <c r="D57" s="12">
        <v>15945</v>
      </c>
      <c r="E57" s="13">
        <v>350.57400000000001</v>
      </c>
      <c r="F57" s="13">
        <v>416.44299999999998</v>
      </c>
      <c r="G57" s="12">
        <v>10336</v>
      </c>
      <c r="H57" s="12">
        <v>15136</v>
      </c>
      <c r="I57" s="13">
        <v>469.39</v>
      </c>
      <c r="J57" s="13">
        <v>620.38800000000003</v>
      </c>
      <c r="K57" s="12">
        <v>16059</v>
      </c>
      <c r="L57" s="12">
        <v>16358</v>
      </c>
      <c r="M57" s="13">
        <v>729.94600000000003</v>
      </c>
      <c r="N57" s="13">
        <v>750.75400000000002</v>
      </c>
    </row>
    <row r="58" spans="1:14" s="8" customFormat="1" ht="27.95" customHeight="1" x14ac:dyDescent="0.25">
      <c r="A58" s="10">
        <v>45</v>
      </c>
      <c r="B58" s="11" t="s">
        <v>54</v>
      </c>
      <c r="C58" s="12">
        <v>3196</v>
      </c>
      <c r="D58" s="12">
        <v>2737</v>
      </c>
      <c r="E58" s="13">
        <v>0</v>
      </c>
      <c r="F58" s="13">
        <v>27.204000000000001</v>
      </c>
      <c r="G58" s="12">
        <v>3141</v>
      </c>
      <c r="H58" s="12">
        <v>2839</v>
      </c>
      <c r="I58" s="13">
        <v>0</v>
      </c>
      <c r="J58" s="13">
        <v>26.109000000000002</v>
      </c>
      <c r="K58" s="12">
        <v>3742</v>
      </c>
      <c r="L58" s="12">
        <v>3889</v>
      </c>
      <c r="M58" s="13">
        <v>0.189</v>
      </c>
      <c r="N58" s="13">
        <v>25.352</v>
      </c>
    </row>
    <row r="59" spans="1:14" s="8" customFormat="1" ht="27.95" customHeight="1" x14ac:dyDescent="0.25">
      <c r="A59" s="10">
        <v>46</v>
      </c>
      <c r="B59" s="11" t="s">
        <v>56</v>
      </c>
      <c r="C59" s="12">
        <v>0</v>
      </c>
      <c r="D59" s="12">
        <v>0</v>
      </c>
      <c r="E59" s="13">
        <v>0</v>
      </c>
      <c r="F59" s="13">
        <v>0</v>
      </c>
      <c r="G59" s="12">
        <v>392</v>
      </c>
      <c r="H59" s="12">
        <v>430</v>
      </c>
      <c r="I59" s="13">
        <v>0</v>
      </c>
      <c r="J59" s="13">
        <v>0</v>
      </c>
      <c r="K59" s="12">
        <v>390</v>
      </c>
      <c r="L59" s="12">
        <v>378</v>
      </c>
      <c r="M59" s="13">
        <v>0</v>
      </c>
      <c r="N59" s="13">
        <v>0</v>
      </c>
    </row>
    <row r="60" spans="1:14" s="8" customFormat="1" ht="27.95" customHeight="1" x14ac:dyDescent="0.25">
      <c r="A60" s="10">
        <v>47</v>
      </c>
      <c r="B60" s="11" t="s">
        <v>57</v>
      </c>
      <c r="C60" s="12">
        <v>12339</v>
      </c>
      <c r="D60" s="12">
        <v>12324</v>
      </c>
      <c r="E60" s="13">
        <v>16.617000000000001</v>
      </c>
      <c r="F60" s="13">
        <v>20.484000000000002</v>
      </c>
      <c r="G60" s="12">
        <v>13678</v>
      </c>
      <c r="H60" s="12">
        <v>12643</v>
      </c>
      <c r="I60" s="13">
        <v>22.263999999999999</v>
      </c>
      <c r="J60" s="13">
        <v>15.077999999999999</v>
      </c>
      <c r="K60" s="12">
        <v>13126</v>
      </c>
      <c r="L60" s="12">
        <v>12110</v>
      </c>
      <c r="M60" s="13">
        <v>21.091000000000001</v>
      </c>
      <c r="N60" s="13">
        <v>15.212</v>
      </c>
    </row>
    <row r="61" spans="1:14" s="8" customFormat="1" ht="27.95" customHeight="1" x14ac:dyDescent="0.25">
      <c r="A61" s="10">
        <v>48</v>
      </c>
      <c r="B61" s="11" t="s">
        <v>79</v>
      </c>
      <c r="C61" s="12">
        <v>1183</v>
      </c>
      <c r="D61" s="12">
        <v>1760</v>
      </c>
      <c r="E61" s="13">
        <v>0</v>
      </c>
      <c r="F61" s="13">
        <v>0</v>
      </c>
      <c r="G61" s="12">
        <v>1044</v>
      </c>
      <c r="H61" s="12">
        <v>1962</v>
      </c>
      <c r="I61" s="13">
        <v>0</v>
      </c>
      <c r="J61" s="13">
        <v>0</v>
      </c>
      <c r="K61" s="12">
        <v>820</v>
      </c>
      <c r="L61" s="12">
        <v>2066</v>
      </c>
      <c r="M61" s="13">
        <v>0</v>
      </c>
      <c r="N61" s="13">
        <v>0</v>
      </c>
    </row>
    <row r="62" spans="1:14" s="8" customFormat="1" ht="27.95" customHeight="1" x14ac:dyDescent="0.25">
      <c r="A62" s="10">
        <v>49</v>
      </c>
      <c r="B62" s="11" t="s">
        <v>22</v>
      </c>
      <c r="C62" s="12">
        <v>21621</v>
      </c>
      <c r="D62" s="12">
        <v>26139</v>
      </c>
      <c r="E62" s="13">
        <v>360.99829999999997</v>
      </c>
      <c r="F62" s="13">
        <v>885.2333000000001</v>
      </c>
      <c r="G62" s="12">
        <v>26653</v>
      </c>
      <c r="H62" s="12">
        <v>31839</v>
      </c>
      <c r="I62" s="13">
        <v>361.63009999999997</v>
      </c>
      <c r="J62" s="13">
        <v>979.01959999999997</v>
      </c>
      <c r="K62" s="12">
        <v>34051</v>
      </c>
      <c r="L62" s="12">
        <v>27092</v>
      </c>
      <c r="M62" s="13">
        <v>468.09570000000002</v>
      </c>
      <c r="N62" s="13">
        <v>979.11199999999997</v>
      </c>
    </row>
    <row r="63" spans="1:14" s="8" customFormat="1" ht="27.95" customHeight="1" x14ac:dyDescent="0.25">
      <c r="A63" s="10">
        <v>50</v>
      </c>
      <c r="B63" s="11" t="s">
        <v>80</v>
      </c>
      <c r="C63" s="12">
        <v>4066</v>
      </c>
      <c r="D63" s="12">
        <v>4923</v>
      </c>
      <c r="E63" s="13">
        <v>1.2330000000000001</v>
      </c>
      <c r="F63" s="13">
        <v>46.116</v>
      </c>
      <c r="G63" s="12">
        <v>2768</v>
      </c>
      <c r="H63" s="12">
        <v>4913</v>
      </c>
      <c r="I63" s="13">
        <v>3.2949999999999999</v>
      </c>
      <c r="J63" s="13">
        <v>66.650000000000006</v>
      </c>
      <c r="K63" s="12">
        <v>3577</v>
      </c>
      <c r="L63" s="12">
        <v>7455</v>
      </c>
      <c r="M63" s="13">
        <v>4.1159999999999997</v>
      </c>
      <c r="N63" s="13">
        <v>10.672000000000001</v>
      </c>
    </row>
    <row r="64" spans="1:14" s="8" customFormat="1" ht="27.95" customHeight="1" x14ac:dyDescent="0.25">
      <c r="A64" s="10">
        <v>51</v>
      </c>
      <c r="B64" s="11" t="s">
        <v>23</v>
      </c>
      <c r="C64" s="12">
        <v>81910</v>
      </c>
      <c r="D64" s="12">
        <v>88998</v>
      </c>
      <c r="E64" s="13">
        <v>7633.3760000000002</v>
      </c>
      <c r="F64" s="13">
        <v>8833.3369999999995</v>
      </c>
      <c r="G64" s="12">
        <v>81331</v>
      </c>
      <c r="H64" s="12">
        <v>89216</v>
      </c>
      <c r="I64" s="13">
        <v>7114.2950000000001</v>
      </c>
      <c r="J64" s="13">
        <v>8012.509</v>
      </c>
      <c r="K64" s="12">
        <v>85696</v>
      </c>
      <c r="L64" s="12">
        <v>83787</v>
      </c>
      <c r="M64" s="13">
        <v>7010.299</v>
      </c>
      <c r="N64" s="13">
        <v>8040.1719999999996</v>
      </c>
    </row>
    <row r="65" spans="1:14" s="8" customFormat="1" ht="27.95" customHeight="1" x14ac:dyDescent="0.25">
      <c r="A65" s="10">
        <v>52</v>
      </c>
      <c r="B65" s="11" t="s">
        <v>58</v>
      </c>
      <c r="C65" s="12">
        <v>716</v>
      </c>
      <c r="D65" s="12">
        <v>937</v>
      </c>
      <c r="E65" s="13">
        <v>0</v>
      </c>
      <c r="F65" s="13">
        <v>0</v>
      </c>
      <c r="G65" s="12">
        <v>737</v>
      </c>
      <c r="H65" s="12">
        <v>1166</v>
      </c>
      <c r="I65" s="13">
        <v>0</v>
      </c>
      <c r="J65" s="13">
        <v>0</v>
      </c>
      <c r="K65" s="12">
        <v>632</v>
      </c>
      <c r="L65" s="12">
        <v>865</v>
      </c>
      <c r="M65" s="13">
        <v>0</v>
      </c>
      <c r="N65" s="13">
        <v>0</v>
      </c>
    </row>
    <row r="66" spans="1:14" s="8" customFormat="1" ht="27.95" customHeight="1" x14ac:dyDescent="0.25">
      <c r="A66" s="10">
        <v>53</v>
      </c>
      <c r="B66" s="11" t="s">
        <v>81</v>
      </c>
      <c r="C66" s="12">
        <v>14311</v>
      </c>
      <c r="D66" s="12">
        <v>13124</v>
      </c>
      <c r="E66" s="13">
        <v>4.5140000000000002</v>
      </c>
      <c r="F66" s="13">
        <v>101.663</v>
      </c>
      <c r="G66" s="12">
        <v>16513</v>
      </c>
      <c r="H66" s="12">
        <v>16940</v>
      </c>
      <c r="I66" s="13">
        <v>7.2560000000000002</v>
      </c>
      <c r="J66" s="13">
        <v>65.978999999999999</v>
      </c>
      <c r="K66" s="12">
        <v>18498</v>
      </c>
      <c r="L66" s="12">
        <v>15479</v>
      </c>
      <c r="M66" s="13">
        <v>11.634</v>
      </c>
      <c r="N66" s="13">
        <v>59.036999999999999</v>
      </c>
    </row>
    <row r="67" spans="1:14" s="8" customFormat="1" ht="27.95" customHeight="1" x14ac:dyDescent="0.25">
      <c r="A67" s="10">
        <v>54</v>
      </c>
      <c r="B67" s="11" t="s">
        <v>82</v>
      </c>
      <c r="C67" s="12">
        <v>42334</v>
      </c>
      <c r="D67" s="12">
        <v>45148</v>
      </c>
      <c r="E67" s="13">
        <v>304.10599999999999</v>
      </c>
      <c r="F67" s="13">
        <v>2159.7399999999998</v>
      </c>
      <c r="G67" s="12">
        <v>50325</v>
      </c>
      <c r="H67" s="12">
        <v>47830</v>
      </c>
      <c r="I67" s="13">
        <v>213.482</v>
      </c>
      <c r="J67" s="13">
        <v>1621.874</v>
      </c>
      <c r="K67" s="12">
        <v>43933</v>
      </c>
      <c r="L67" s="12">
        <v>33561</v>
      </c>
      <c r="M67" s="13">
        <v>311.505</v>
      </c>
      <c r="N67" s="13">
        <v>1860.0060000000001</v>
      </c>
    </row>
    <row r="68" spans="1:14" s="8" customFormat="1" ht="27.95" customHeight="1" x14ac:dyDescent="0.25">
      <c r="A68" s="10">
        <v>55</v>
      </c>
      <c r="B68" s="11" t="s">
        <v>71</v>
      </c>
      <c r="C68" s="12">
        <v>20498</v>
      </c>
      <c r="D68" s="12">
        <v>21660</v>
      </c>
      <c r="E68" s="13">
        <v>2.5804999999999998</v>
      </c>
      <c r="F68" s="13">
        <v>48.528690000000012</v>
      </c>
      <c r="G68" s="12">
        <v>24081</v>
      </c>
      <c r="H68" s="12">
        <v>27539</v>
      </c>
      <c r="I68" s="13">
        <v>2.2599999999999998</v>
      </c>
      <c r="J68" s="13">
        <v>34.50056</v>
      </c>
      <c r="K68" s="12">
        <v>30356</v>
      </c>
      <c r="L68" s="12">
        <v>32060</v>
      </c>
      <c r="M68" s="13">
        <v>14.3871</v>
      </c>
      <c r="N68" s="13">
        <v>31.40457</v>
      </c>
    </row>
    <row r="69" spans="1:14" s="8" customFormat="1" ht="27.95" customHeight="1" x14ac:dyDescent="0.25">
      <c r="A69" s="10">
        <v>56</v>
      </c>
      <c r="B69" s="11" t="s">
        <v>72</v>
      </c>
      <c r="C69" s="12">
        <v>60286</v>
      </c>
      <c r="D69" s="12">
        <v>67019</v>
      </c>
      <c r="E69" s="13">
        <v>2355.3405900000002</v>
      </c>
      <c r="F69" s="13">
        <v>1918.3109299999999</v>
      </c>
      <c r="G69" s="12">
        <v>62882</v>
      </c>
      <c r="H69" s="12">
        <v>81882</v>
      </c>
      <c r="I69" s="13">
        <v>2436.8112700000001</v>
      </c>
      <c r="J69" s="13">
        <v>2032.3556800000003</v>
      </c>
      <c r="K69" s="12">
        <v>76868</v>
      </c>
      <c r="L69" s="12">
        <v>80061</v>
      </c>
      <c r="M69" s="13">
        <v>2578.8724200000001</v>
      </c>
      <c r="N69" s="13">
        <v>2502.9177200000004</v>
      </c>
    </row>
    <row r="70" spans="1:14" s="8" customFormat="1" ht="27.95" customHeight="1" x14ac:dyDescent="0.25">
      <c r="A70" s="10">
        <v>57</v>
      </c>
      <c r="B70" s="11" t="s">
        <v>37</v>
      </c>
      <c r="C70" s="12">
        <v>36839</v>
      </c>
      <c r="D70" s="12">
        <v>38227</v>
      </c>
      <c r="E70" s="13">
        <v>575.62850000000003</v>
      </c>
      <c r="F70" s="13">
        <v>987.14499999999998</v>
      </c>
      <c r="G70" s="12">
        <v>34596</v>
      </c>
      <c r="H70" s="12">
        <v>40008</v>
      </c>
      <c r="I70" s="13">
        <v>631.87069999999994</v>
      </c>
      <c r="J70" s="13">
        <v>888.21299999999997</v>
      </c>
      <c r="K70" s="12">
        <v>39671</v>
      </c>
      <c r="L70" s="12">
        <v>33448</v>
      </c>
      <c r="M70" s="13">
        <v>618.98540000000003</v>
      </c>
      <c r="N70" s="13">
        <v>850.851</v>
      </c>
    </row>
    <row r="71" spans="1:14" s="8" customFormat="1" ht="27.95" customHeight="1" x14ac:dyDescent="0.25">
      <c r="A71" s="10">
        <v>58</v>
      </c>
      <c r="B71" s="11" t="s">
        <v>43</v>
      </c>
      <c r="C71" s="12">
        <v>5370</v>
      </c>
      <c r="D71" s="12">
        <v>6776</v>
      </c>
      <c r="E71" s="13">
        <v>452.63799999999998</v>
      </c>
      <c r="F71" s="13">
        <v>476.77699999999999</v>
      </c>
      <c r="G71" s="12">
        <v>4439</v>
      </c>
      <c r="H71" s="12">
        <v>6887</v>
      </c>
      <c r="I71" s="13">
        <v>473.41</v>
      </c>
      <c r="J71" s="13">
        <v>482.96499999999997</v>
      </c>
      <c r="K71" s="12">
        <v>5940</v>
      </c>
      <c r="L71" s="12">
        <v>6586</v>
      </c>
      <c r="M71" s="13">
        <v>418.649</v>
      </c>
      <c r="N71" s="13">
        <v>461.524</v>
      </c>
    </row>
    <row r="72" spans="1:14" s="8" customFormat="1" ht="27.95" customHeight="1" x14ac:dyDescent="0.25">
      <c r="A72" s="10">
        <v>59</v>
      </c>
      <c r="B72" s="11" t="s">
        <v>87</v>
      </c>
      <c r="C72" s="12">
        <v>0</v>
      </c>
      <c r="D72" s="12">
        <v>0</v>
      </c>
      <c r="E72" s="13">
        <v>0</v>
      </c>
      <c r="F72" s="13">
        <v>0</v>
      </c>
      <c r="G72" s="12">
        <v>3187</v>
      </c>
      <c r="H72" s="12">
        <v>4530</v>
      </c>
      <c r="I72" s="13">
        <v>0</v>
      </c>
      <c r="J72" s="13">
        <v>2.3559999999999999</v>
      </c>
      <c r="K72" s="12">
        <v>13916</v>
      </c>
      <c r="L72" s="12">
        <v>15114</v>
      </c>
      <c r="M72" s="13">
        <v>0</v>
      </c>
      <c r="N72" s="13">
        <v>29.837</v>
      </c>
    </row>
    <row r="73" spans="1:14" s="8" customFormat="1" ht="27.95" customHeight="1" x14ac:dyDescent="0.25">
      <c r="A73" s="10">
        <v>60</v>
      </c>
      <c r="B73" s="11" t="s">
        <v>48</v>
      </c>
      <c r="C73" s="12">
        <v>20648</v>
      </c>
      <c r="D73" s="12">
        <v>22958</v>
      </c>
      <c r="E73" s="13">
        <v>2019.9639999999999</v>
      </c>
      <c r="F73" s="13">
        <v>1358.0360000000001</v>
      </c>
      <c r="G73" s="12">
        <v>24818</v>
      </c>
      <c r="H73" s="12">
        <v>33452</v>
      </c>
      <c r="I73" s="13">
        <v>2081.819</v>
      </c>
      <c r="J73" s="13">
        <v>2081.819</v>
      </c>
      <c r="K73" s="12">
        <v>31320</v>
      </c>
      <c r="L73" s="12">
        <v>32779</v>
      </c>
      <c r="M73" s="13">
        <v>2259.4810000000002</v>
      </c>
      <c r="N73" s="13">
        <v>1147.6980000000001</v>
      </c>
    </row>
    <row r="74" spans="1:14" s="8" customFormat="1" ht="27.95" customHeight="1" x14ac:dyDescent="0.25">
      <c r="A74" s="10">
        <v>61</v>
      </c>
      <c r="B74" s="11" t="s">
        <v>88</v>
      </c>
      <c r="C74" s="12">
        <v>0</v>
      </c>
      <c r="D74" s="12">
        <v>0</v>
      </c>
      <c r="E74" s="13">
        <v>0</v>
      </c>
      <c r="F74" s="13">
        <v>0</v>
      </c>
      <c r="G74" s="12">
        <v>0</v>
      </c>
      <c r="H74" s="12">
        <v>0</v>
      </c>
      <c r="I74" s="13">
        <v>0</v>
      </c>
      <c r="J74" s="13">
        <v>0</v>
      </c>
      <c r="K74" s="12">
        <v>732</v>
      </c>
      <c r="L74" s="12">
        <v>732</v>
      </c>
      <c r="M74" s="13">
        <v>0</v>
      </c>
      <c r="N74" s="13">
        <v>0.36599999999999999</v>
      </c>
    </row>
    <row r="75" spans="1:14" s="8" customFormat="1" ht="27.95" customHeight="1" x14ac:dyDescent="0.25">
      <c r="A75" s="10">
        <v>62</v>
      </c>
      <c r="B75" s="11" t="s">
        <v>83</v>
      </c>
      <c r="C75" s="12">
        <v>4151</v>
      </c>
      <c r="D75" s="12">
        <v>5238</v>
      </c>
      <c r="E75" s="13">
        <v>0</v>
      </c>
      <c r="F75" s="13">
        <v>0</v>
      </c>
      <c r="G75" s="12">
        <v>7458</v>
      </c>
      <c r="H75" s="12">
        <v>10284</v>
      </c>
      <c r="I75" s="13">
        <v>0</v>
      </c>
      <c r="J75" s="13">
        <v>0</v>
      </c>
      <c r="K75" s="12">
        <v>10477</v>
      </c>
      <c r="L75" s="12">
        <v>10782</v>
      </c>
      <c r="M75" s="13">
        <v>0</v>
      </c>
      <c r="N75" s="13">
        <v>0</v>
      </c>
    </row>
    <row r="76" spans="1:14" s="8" customFormat="1" ht="27.95" customHeight="1" x14ac:dyDescent="0.25">
      <c r="A76" s="10">
        <v>63</v>
      </c>
      <c r="B76" s="11" t="s">
        <v>24</v>
      </c>
      <c r="C76" s="12">
        <v>16967</v>
      </c>
      <c r="D76" s="12">
        <v>21780</v>
      </c>
      <c r="E76" s="13">
        <v>4190.3059999999996</v>
      </c>
      <c r="F76" s="13">
        <v>4945.692</v>
      </c>
      <c r="G76" s="12">
        <v>9576</v>
      </c>
      <c r="H76" s="12">
        <v>10957</v>
      </c>
      <c r="I76" s="13">
        <v>3890.098</v>
      </c>
      <c r="J76" s="13">
        <v>3681.8580000000002</v>
      </c>
      <c r="K76" s="12">
        <v>18892</v>
      </c>
      <c r="L76" s="12">
        <v>20273</v>
      </c>
      <c r="M76" s="13">
        <v>3855.1579500000003</v>
      </c>
      <c r="N76" s="13">
        <v>3308.3443900000002</v>
      </c>
    </row>
    <row r="77" spans="1:14" s="8" customFormat="1" ht="27.95" customHeight="1" x14ac:dyDescent="0.25">
      <c r="A77" s="10">
        <v>64</v>
      </c>
      <c r="B77" s="11" t="s">
        <v>25</v>
      </c>
      <c r="C77" s="12">
        <v>11903</v>
      </c>
      <c r="D77" s="12">
        <v>13897</v>
      </c>
      <c r="E77" s="13">
        <v>222.87306799999999</v>
      </c>
      <c r="F77" s="13">
        <v>127.03689999999999</v>
      </c>
      <c r="G77" s="12">
        <v>13768</v>
      </c>
      <c r="H77" s="12">
        <v>14711</v>
      </c>
      <c r="I77" s="13">
        <v>170.94245000000001</v>
      </c>
      <c r="J77" s="13">
        <v>69.611199999999997</v>
      </c>
      <c r="K77" s="12">
        <v>14133</v>
      </c>
      <c r="L77" s="12">
        <v>12599</v>
      </c>
      <c r="M77" s="13">
        <v>130.04808</v>
      </c>
      <c r="N77" s="13">
        <v>186.41056</v>
      </c>
    </row>
    <row r="78" spans="1:14" s="8" customFormat="1" ht="27.95" customHeight="1" x14ac:dyDescent="0.25">
      <c r="A78" s="10">
        <v>65</v>
      </c>
      <c r="B78" s="11" t="s">
        <v>73</v>
      </c>
      <c r="C78" s="12">
        <v>0</v>
      </c>
      <c r="D78" s="12">
        <v>0</v>
      </c>
      <c r="E78" s="13">
        <v>297.26600000000002</v>
      </c>
      <c r="F78" s="13">
        <v>2016.172</v>
      </c>
      <c r="G78" s="12">
        <v>0</v>
      </c>
      <c r="H78" s="12">
        <v>0</v>
      </c>
      <c r="I78" s="13">
        <v>355.54899999999998</v>
      </c>
      <c r="J78" s="13">
        <v>2096.8760000000002</v>
      </c>
      <c r="K78" s="12">
        <v>0</v>
      </c>
      <c r="L78" s="12">
        <v>0</v>
      </c>
      <c r="M78" s="13">
        <v>245.07300000000001</v>
      </c>
      <c r="N78" s="13">
        <v>2074.7719999999999</v>
      </c>
    </row>
    <row r="79" spans="1:14" s="8" customFormat="1" ht="27.95" customHeight="1" x14ac:dyDescent="0.25">
      <c r="A79" s="10">
        <v>66</v>
      </c>
      <c r="B79" s="11" t="s">
        <v>74</v>
      </c>
      <c r="C79" s="12">
        <v>4870</v>
      </c>
      <c r="D79" s="12">
        <v>4713</v>
      </c>
      <c r="E79" s="13">
        <v>0</v>
      </c>
      <c r="F79" s="13">
        <v>55.469000000000001</v>
      </c>
      <c r="G79" s="12">
        <v>4326</v>
      </c>
      <c r="H79" s="12">
        <v>4877</v>
      </c>
      <c r="I79" s="13">
        <v>0</v>
      </c>
      <c r="J79" s="13">
        <v>7.2690000000000001</v>
      </c>
      <c r="K79" s="12">
        <v>4001</v>
      </c>
      <c r="L79" s="12">
        <v>4055</v>
      </c>
      <c r="M79" s="13">
        <v>0</v>
      </c>
      <c r="N79" s="13">
        <v>31.776</v>
      </c>
    </row>
    <row r="80" spans="1:14" s="8" customFormat="1" ht="27.95" customHeight="1" x14ac:dyDescent="0.25">
      <c r="A80" s="10">
        <v>67</v>
      </c>
      <c r="B80" s="11" t="s">
        <v>26</v>
      </c>
      <c r="C80" s="12">
        <v>2097</v>
      </c>
      <c r="D80" s="12">
        <v>1785</v>
      </c>
      <c r="E80" s="13">
        <v>27.056999999999999</v>
      </c>
      <c r="F80" s="13">
        <v>118.24299999999999</v>
      </c>
      <c r="G80" s="12">
        <v>2687</v>
      </c>
      <c r="H80" s="12">
        <v>2481</v>
      </c>
      <c r="I80" s="13">
        <v>18</v>
      </c>
      <c r="J80" s="13">
        <v>111.187</v>
      </c>
      <c r="K80" s="12">
        <v>3282</v>
      </c>
      <c r="L80" s="12">
        <v>2157</v>
      </c>
      <c r="M80" s="13">
        <v>23.866</v>
      </c>
      <c r="N80" s="13">
        <v>124.916</v>
      </c>
    </row>
    <row r="81" spans="1:14" s="8" customFormat="1" ht="27.95" customHeight="1" x14ac:dyDescent="0.25">
      <c r="A81" s="10">
        <v>68</v>
      </c>
      <c r="B81" s="11" t="s">
        <v>89</v>
      </c>
      <c r="C81" s="12">
        <v>262</v>
      </c>
      <c r="D81" s="12">
        <v>318</v>
      </c>
      <c r="E81" s="13">
        <v>0.70699999999999996</v>
      </c>
      <c r="F81" s="13">
        <v>0.35599999999999998</v>
      </c>
      <c r="G81" s="12">
        <v>2277</v>
      </c>
      <c r="H81" s="12">
        <v>3355</v>
      </c>
      <c r="I81" s="13">
        <v>12.810499999999999</v>
      </c>
      <c r="J81" s="13">
        <v>23.422699999999995</v>
      </c>
      <c r="K81" s="12">
        <v>3442</v>
      </c>
      <c r="L81" s="12">
        <v>3834</v>
      </c>
      <c r="M81" s="13">
        <v>0</v>
      </c>
      <c r="N81" s="13">
        <v>0</v>
      </c>
    </row>
    <row r="82" spans="1:14" s="8" customFormat="1" ht="27.95" customHeight="1" x14ac:dyDescent="0.25">
      <c r="A82" s="10">
        <v>69</v>
      </c>
      <c r="B82" s="11" t="s">
        <v>27</v>
      </c>
      <c r="C82" s="12">
        <v>14047</v>
      </c>
      <c r="D82" s="12">
        <v>15834</v>
      </c>
      <c r="E82" s="13">
        <v>670.68</v>
      </c>
      <c r="F82" s="13">
        <v>1136.403</v>
      </c>
      <c r="G82" s="12">
        <v>11699</v>
      </c>
      <c r="H82" s="12">
        <v>14228</v>
      </c>
      <c r="I82" s="13">
        <v>812.10599999999999</v>
      </c>
      <c r="J82" s="13">
        <v>1061.4659999999999</v>
      </c>
      <c r="K82" s="12">
        <v>18195</v>
      </c>
      <c r="L82" s="12">
        <v>19669</v>
      </c>
      <c r="M82" s="13">
        <v>1044.1559999999999</v>
      </c>
      <c r="N82" s="13">
        <v>1323.2850000000001</v>
      </c>
    </row>
    <row r="83" spans="1:14" s="8" customFormat="1" ht="27.95" customHeight="1" x14ac:dyDescent="0.25">
      <c r="A83" s="10">
        <v>70</v>
      </c>
      <c r="B83" s="11" t="s">
        <v>28</v>
      </c>
      <c r="C83" s="12">
        <v>765</v>
      </c>
      <c r="D83" s="12">
        <v>889</v>
      </c>
      <c r="E83" s="13">
        <v>0</v>
      </c>
      <c r="F83" s="13">
        <v>5.7115</v>
      </c>
      <c r="G83" s="12">
        <v>721</v>
      </c>
      <c r="H83" s="12">
        <v>542</v>
      </c>
      <c r="I83" s="13">
        <v>0</v>
      </c>
      <c r="J83" s="13">
        <v>7.3966000000000003</v>
      </c>
      <c r="K83" s="12">
        <v>747</v>
      </c>
      <c r="L83" s="12">
        <v>711</v>
      </c>
      <c r="M83" s="13">
        <v>0</v>
      </c>
      <c r="N83" s="13">
        <v>5.6178999999999997</v>
      </c>
    </row>
    <row r="84" spans="1:14" ht="27.75" customHeight="1" x14ac:dyDescent="0.25">
      <c r="A84" s="30" t="s">
        <v>29</v>
      </c>
      <c r="B84" s="30"/>
      <c r="C84" s="18">
        <f t="shared" ref="C84:N84" si="1">SUM(C14:C83)</f>
        <v>917888</v>
      </c>
      <c r="D84" s="18">
        <f t="shared" si="1"/>
        <v>1044361</v>
      </c>
      <c r="E84" s="19">
        <f t="shared" si="1"/>
        <v>52018.887555000001</v>
      </c>
      <c r="F84" s="19">
        <f t="shared" si="1"/>
        <v>65995.420880999998</v>
      </c>
      <c r="G84" s="18">
        <f t="shared" si="1"/>
        <v>1018342</v>
      </c>
      <c r="H84" s="18">
        <f t="shared" si="1"/>
        <v>1209006</v>
      </c>
      <c r="I84" s="19">
        <f t="shared" si="1"/>
        <v>52040.296228000021</v>
      </c>
      <c r="J84" s="19">
        <f t="shared" si="1"/>
        <v>63764.504597999978</v>
      </c>
      <c r="K84" s="18">
        <f t="shared" si="1"/>
        <v>1175087</v>
      </c>
      <c r="L84" s="18">
        <f t="shared" si="1"/>
        <v>1136381</v>
      </c>
      <c r="M84" s="19">
        <f t="shared" si="1"/>
        <v>49518.721604999992</v>
      </c>
      <c r="N84" s="19">
        <f t="shared" si="1"/>
        <v>59970.942117999977</v>
      </c>
    </row>
    <row r="85" spans="1:14" ht="41.25" customHeight="1" x14ac:dyDescent="0.25">
      <c r="A85" s="31" t="s">
        <v>30</v>
      </c>
      <c r="B85" s="31"/>
      <c r="C85" s="20">
        <f t="shared" ref="C85:N85" si="2">C12+C84</f>
        <v>1621638</v>
      </c>
      <c r="D85" s="20">
        <f t="shared" si="2"/>
        <v>1798788</v>
      </c>
      <c r="E85" s="21">
        <f t="shared" si="2"/>
        <v>56388.641674999999</v>
      </c>
      <c r="F85" s="21">
        <f t="shared" si="2"/>
        <v>78582.855381000001</v>
      </c>
      <c r="G85" s="20">
        <f t="shared" si="2"/>
        <v>1837340</v>
      </c>
      <c r="H85" s="20">
        <f t="shared" si="2"/>
        <v>2120963</v>
      </c>
      <c r="I85" s="21">
        <f t="shared" si="2"/>
        <v>56813.402938000021</v>
      </c>
      <c r="J85" s="21">
        <f t="shared" si="2"/>
        <v>74690.67137799997</v>
      </c>
      <c r="K85" s="20">
        <f t="shared" si="2"/>
        <v>2138946</v>
      </c>
      <c r="L85" s="20">
        <f t="shared" si="2"/>
        <v>2009279</v>
      </c>
      <c r="M85" s="21">
        <f t="shared" si="2"/>
        <v>54305.69819499999</v>
      </c>
      <c r="N85" s="21">
        <f t="shared" si="2"/>
        <v>70115.366307999982</v>
      </c>
    </row>
    <row r="86" spans="1:14" s="8" customFormat="1" ht="30.75" customHeight="1" x14ac:dyDescent="0.3">
      <c r="A86" s="24" t="s">
        <v>38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6"/>
    </row>
    <row r="87" spans="1:14" s="8" customFormat="1" ht="30.75" customHeight="1" x14ac:dyDescent="0.25">
      <c r="A87" s="36" t="s">
        <v>93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8"/>
    </row>
    <row r="88" spans="1:14" s="8" customFormat="1" ht="21" customHeight="1" x14ac:dyDescent="0.3">
      <c r="A88" s="23" t="s">
        <v>36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 ht="18.75" customHeight="1" x14ac:dyDescent="0.25"/>
    <row r="90" spans="1:14" ht="18.75" customHeight="1" x14ac:dyDescent="0.25"/>
    <row r="91" spans="1:14" ht="18.75" customHeight="1" x14ac:dyDescent="0.25"/>
  </sheetData>
  <mergeCells count="15">
    <mergeCell ref="A1:N1"/>
    <mergeCell ref="A2:N2"/>
    <mergeCell ref="A3:A4"/>
    <mergeCell ref="B3:B4"/>
    <mergeCell ref="C3:F3"/>
    <mergeCell ref="G3:J3"/>
    <mergeCell ref="K3:N3"/>
    <mergeCell ref="A88:N88"/>
    <mergeCell ref="A86:N86"/>
    <mergeCell ref="A5:N5"/>
    <mergeCell ref="A12:B12"/>
    <mergeCell ref="A13:N13"/>
    <mergeCell ref="A84:B84"/>
    <mergeCell ref="A85:B85"/>
    <mergeCell ref="A87:N87"/>
  </mergeCells>
  <printOptions horizontalCentered="1"/>
  <pageMargins left="0" right="0" top="3.937007874015748E-2" bottom="3.937007874015748E-2" header="0.31496062992125984" footer="0.31496062992125984"/>
  <pageSetup scale="39" fitToHeight="2" orientation="landscape" r:id="rId1"/>
  <headerFooter>
    <oddFooter>Page &amp;P of &amp;N</oddFooter>
  </headerFooter>
  <rowBreaks count="1" manualBreakCount="1">
    <brk id="4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2022-09-14T06:43:33Z</dcterms:modified>
</cp:coreProperties>
</file>