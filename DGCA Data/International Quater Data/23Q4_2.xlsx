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8835"/>
  </bookViews>
  <sheets>
    <sheet name="MONTHWISE" sheetId="2" r:id="rId1"/>
  </sheets>
  <definedNames>
    <definedName name="_">#REF!</definedName>
    <definedName name="_xlnm._FilterDatabase" localSheetId="0" hidden="1">MONTHWISE!#REF!</definedName>
    <definedName name="_xlnm.Print_Area" localSheetId="0">MONTHWISE!$A$1:$N$95</definedName>
    <definedName name="Print_Area_1">#REF!</definedName>
    <definedName name="Print_Area_2">#REF!</definedName>
    <definedName name="Print_Area_3">#REF!</definedName>
    <definedName name="_xlnm.Print_Titles" localSheetId="0">MONTHWISE!$A:$B,MONTHWISE!$1:$4</definedName>
  </definedNames>
  <calcPr calcId="152511"/>
</workbook>
</file>

<file path=xl/calcChain.xml><?xml version="1.0" encoding="utf-8"?>
<calcChain xmlns="http://schemas.openxmlformats.org/spreadsheetml/2006/main">
  <c r="D12" i="2" l="1"/>
  <c r="E12" i="2"/>
  <c r="F12" i="2"/>
  <c r="G12" i="2"/>
  <c r="H12" i="2"/>
  <c r="I12" i="2"/>
  <c r="J12" i="2"/>
  <c r="K12" i="2"/>
  <c r="L12" i="2"/>
  <c r="M12" i="2"/>
  <c r="N12" i="2"/>
  <c r="C12" i="2"/>
  <c r="D92" i="2" l="1"/>
  <c r="E92" i="2"/>
  <c r="F92" i="2"/>
  <c r="G92" i="2"/>
  <c r="H92" i="2"/>
  <c r="I92" i="2"/>
  <c r="J92" i="2"/>
  <c r="K92" i="2"/>
  <c r="L92" i="2"/>
  <c r="M92" i="2"/>
  <c r="N92" i="2"/>
  <c r="C92" i="2"/>
  <c r="D93" i="2" l="1"/>
  <c r="E93" i="2"/>
  <c r="F93" i="2"/>
  <c r="G93" i="2"/>
  <c r="H93" i="2"/>
  <c r="I93" i="2"/>
  <c r="J93" i="2"/>
  <c r="K93" i="2"/>
  <c r="L93" i="2"/>
  <c r="M93" i="2"/>
  <c r="N93" i="2"/>
  <c r="C93" i="2" l="1"/>
</calcChain>
</file>

<file path=xl/sharedStrings.xml><?xml version="1.0" encoding="utf-8"?>
<sst xmlns="http://schemas.openxmlformats.org/spreadsheetml/2006/main" count="116" uniqueCount="103">
  <si>
    <t>NAME OF THE AIRLINE</t>
  </si>
  <si>
    <t>DOMESTIC CARRIERS</t>
  </si>
  <si>
    <t>AIR INDIA</t>
  </si>
  <si>
    <t>TOTAL (DOMESTIC CARRIERS)</t>
  </si>
  <si>
    <t xml:space="preserve">FOREIGN CARRIERS </t>
  </si>
  <si>
    <t>AEROFLOT</t>
  </si>
  <si>
    <t>AEROLOGIC</t>
  </si>
  <si>
    <t>AIR ARABIA</t>
  </si>
  <si>
    <t>BIMAN BANGLADESH</t>
  </si>
  <si>
    <t>CATHAY PACIFIC</t>
  </si>
  <si>
    <t>DRUK AIR</t>
  </si>
  <si>
    <t>FEDERAL EXPRESS</t>
  </si>
  <si>
    <t>IRAQI AIRWAYS</t>
  </si>
  <si>
    <t>ISLAND AVIATION SERVICES</t>
  </si>
  <si>
    <t>JAPAN AIRLINES</t>
  </si>
  <si>
    <t>KENYA AIRWAYS</t>
  </si>
  <si>
    <t>KOREAN AIR</t>
  </si>
  <si>
    <t>LUFTHANSA</t>
  </si>
  <si>
    <t>MAHAN AIR</t>
  </si>
  <si>
    <t>MALAYSIA AIRLINES</t>
  </si>
  <si>
    <t>OMAN AIR</t>
  </si>
  <si>
    <t>QATAR AIRWAYS</t>
  </si>
  <si>
    <t>TURKISH AIRLINES</t>
  </si>
  <si>
    <t>UNITED AIRLINES</t>
  </si>
  <si>
    <t>VIRGIN ATLANTIC AIRLINES</t>
  </si>
  <si>
    <t>YEMENIA AIRWAYS</t>
  </si>
  <si>
    <t>TOTAL (FOREIGN CARRIERS)</t>
  </si>
  <si>
    <t>TOTAL (DOMESTIC &amp; FOREIGN CARRIERS)</t>
  </si>
  <si>
    <t>(PASSENGERS IN NUMBER AND FREIGHT IN TONNES)</t>
  </si>
  <si>
    <t>PASSENGERS TO INDIA</t>
  </si>
  <si>
    <t>PASSENGERS FROM INDIA</t>
  </si>
  <si>
    <t>FREIGHT TO INDIA</t>
  </si>
  <si>
    <t>FREIGHT FROM INDIA</t>
  </si>
  <si>
    <t>P-Provisional</t>
  </si>
  <si>
    <t>SRILANKAN AIRWAYS</t>
  </si>
  <si>
    <t>SL. No.</t>
  </si>
  <si>
    <t>EMIRATES AIRLINE</t>
  </si>
  <si>
    <t>ETHIOPIAN AIRLINES</t>
  </si>
  <si>
    <t>GULF AIR</t>
  </si>
  <si>
    <t>SWISS AIR</t>
  </si>
  <si>
    <t>AIR CANADA</t>
  </si>
  <si>
    <t>AIR FRANCE</t>
  </si>
  <si>
    <t>KLM AIRLINES</t>
  </si>
  <si>
    <t>THAI AIRWAYS</t>
  </si>
  <si>
    <t>ALL NIPPON AIRWAYS</t>
  </si>
  <si>
    <t>AIR ASIA X</t>
  </si>
  <si>
    <t>AIR MAURITIUS</t>
  </si>
  <si>
    <t>KUWAIT AIRWAYS</t>
  </si>
  <si>
    <t>MALINDO AIRWAYS</t>
  </si>
  <si>
    <t>FLY DUBAI</t>
  </si>
  <si>
    <t>MYANMAR AIRLINES</t>
  </si>
  <si>
    <t>NEPAL AIRLINES CORPORATION</t>
  </si>
  <si>
    <t>RWANDAIR</t>
  </si>
  <si>
    <t>AIR SEYCHELLES</t>
  </si>
  <si>
    <t>JAZEERA AIRWAYS</t>
  </si>
  <si>
    <t>AIR INDIA EXPRESS</t>
  </si>
  <si>
    <t>INDIGO</t>
  </si>
  <si>
    <t>SPICEJET</t>
  </si>
  <si>
    <t>AIR ASIA BERHAD</t>
  </si>
  <si>
    <t>CHINA AIRLINES LTD</t>
  </si>
  <si>
    <t>FLYNAS</t>
  </si>
  <si>
    <t>SCOOT TIGER AIR</t>
  </si>
  <si>
    <t>SINGAPORE AIRLINES</t>
  </si>
  <si>
    <t>US BANGLA AIRLINES</t>
  </si>
  <si>
    <t>AIR ARABIA-ABU DHABI</t>
  </si>
  <si>
    <t>AIR TANZANIA</t>
  </si>
  <si>
    <t>AMERICAN AIRLINES</t>
  </si>
  <si>
    <t>ARIANA AFGHAN</t>
  </si>
  <si>
    <t>NOVO AIR</t>
  </si>
  <si>
    <t>QANTAS AIRLINES</t>
  </si>
  <si>
    <t>SAUDIA</t>
  </si>
  <si>
    <t>THAI SMILE AIRWAYS</t>
  </si>
  <si>
    <t>BRITISH AIRWAYS</t>
  </si>
  <si>
    <t>THAI AIR ASIA</t>
  </si>
  <si>
    <t>THAI LION AIR</t>
  </si>
  <si>
    <t>VIETJET AIR</t>
  </si>
  <si>
    <t>AZERBAIJAN AIRLINES</t>
  </si>
  <si>
    <t>ALLIANCE AIR</t>
  </si>
  <si>
    <t>VISTARA</t>
  </si>
  <si>
    <t>AERO NOMAD</t>
  </si>
  <si>
    <t>BATIK AIR</t>
  </si>
  <si>
    <t>BHUTAN AIRLINES</t>
  </si>
  <si>
    <t>FLY BAGHDAD</t>
  </si>
  <si>
    <t>NEOS SPA</t>
  </si>
  <si>
    <t>VIETNAM AIRLINES</t>
  </si>
  <si>
    <t>Note: This table does not include the passengers and freight carried by domestic carriers entirely outside the Indian territory.</t>
  </si>
  <si>
    <t>TABLE 2. AIRLINEWISE MONTHLY INTERNATIONAL TRAFFIC STATISTICS (SCHEDULED) FOR THE QUARTER OCTOBER-DECEMBER 2023 (P)</t>
  </si>
  <si>
    <t>OCTOBER</t>
  </si>
  <si>
    <t>NOVEMBER</t>
  </si>
  <si>
    <t>DECEMBER</t>
  </si>
  <si>
    <t>ASIANA AIRLINES</t>
  </si>
  <si>
    <t>BUDDHA AIR</t>
  </si>
  <si>
    <t>SALAM AIR</t>
  </si>
  <si>
    <t>SCAT AIRLINES</t>
  </si>
  <si>
    <t>UZBEKISTAN AIRWAYS</t>
  </si>
  <si>
    <t>AIR ASTANA</t>
  </si>
  <si>
    <t>EGYPT AIR</t>
  </si>
  <si>
    <t>ETIHAD AIRLINES</t>
  </si>
  <si>
    <t>FINN AIR</t>
  </si>
  <si>
    <t>IRAN AIR</t>
  </si>
  <si>
    <t>LOT POLISH</t>
  </si>
  <si>
    <t>UNITED PARCEL SERVICES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</si>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</sst>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5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4" fillId="4" borderId="1" xfId="0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/>
    <xf numFmtId="164" fontId="8" fillId="0" borderId="1" xfId="0" applyNumberFormat="1" applyFont="1" applyBorder="1" applyAlignment="1"/>
    <xf numFmtId="0" fontId="8" fillId="0" borderId="1" xfId="0" applyFont="1" applyBorder="1" applyAlignment="1">
      <alignment wrapText="1"/>
    </xf>
    <xf numFmtId="164" fontId="8" fillId="0" borderId="1" xfId="0" applyNumberFormat="1" applyFont="1" applyFill="1" applyBorder="1" applyAlignment="1"/>
    <xf numFmtId="0" fontId="8" fillId="0" borderId="1" xfId="0" applyFont="1" applyFill="1" applyBorder="1" applyAlignment="1"/>
    <xf numFmtId="0" fontId="8" fillId="0" borderId="1" xfId="0" applyFont="1" applyFill="1" applyBorder="1" applyAlignment="1">
      <alignment horizontal="left" wrapText="1"/>
    </xf>
    <xf numFmtId="0" fontId="7" fillId="4" borderId="1" xfId="0" applyFont="1" applyFill="1" applyBorder="1" applyAlignment="1"/>
    <xf numFmtId="164" fontId="7" fillId="4" borderId="1" xfId="0" applyNumberFormat="1" applyFont="1" applyFill="1" applyBorder="1" applyAlignment="1"/>
    <xf numFmtId="0" fontId="7" fillId="3" borderId="1" xfId="0" applyFont="1" applyFill="1" applyBorder="1" applyAlignment="1"/>
    <xf numFmtId="164" fontId="7" fillId="3" borderId="1" xfId="0" applyNumberFormat="1" applyFont="1" applyFill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"/>
  <sheetViews>
    <sheetView tabSelected="1" view="pageBreakPreview" topLeftCell="A19" zoomScale="70" zoomScaleNormal="55" zoomScaleSheetLayoutView="70" workbookViewId="0">
      <selection activeCell="I30" sqref="I30"/>
    </sheetView>
  </sheetViews>
  <sheetFormatPr defaultRowHeight="15" x14ac:dyDescent="0.25"/>
  <cols>
    <col min="1" max="1" width="9" style="1" customWidth="1"/>
    <col min="2" max="2" width="41.5703125" style="7" customWidth="1"/>
    <col min="3" max="3" width="15.85546875" style="1" customWidth="1"/>
    <col min="4" max="4" width="17" style="1" customWidth="1"/>
    <col min="5" max="5" width="15.85546875" style="1" customWidth="1"/>
    <col min="6" max="6" width="16.7109375" style="1" customWidth="1"/>
    <col min="7" max="8" width="16.85546875" style="1" customWidth="1"/>
    <col min="9" max="9" width="13.28515625" style="1" customWidth="1"/>
    <col min="10" max="10" width="15.28515625" style="1" customWidth="1"/>
    <col min="11" max="11" width="15.5703125" style="1" customWidth="1"/>
    <col min="12" max="12" width="17" style="1" customWidth="1"/>
    <col min="13" max="13" width="12.28515625" style="1" customWidth="1"/>
    <col min="14" max="14" width="16" style="1" customWidth="1"/>
    <col min="15" max="19" width="12.42578125" style="1" customWidth="1"/>
    <col min="20" max="16384" width="9.140625" style="1"/>
  </cols>
  <sheetData>
    <row r="1" spans="1:14" ht="52.5" customHeight="1" x14ac:dyDescent="0.25">
      <c r="A1" s="21" t="s">
        <v>86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s="2" customFormat="1" ht="25.5" customHeight="1" x14ac:dyDescent="0.25">
      <c r="A2" s="22" t="s">
        <v>28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21" customHeight="1" x14ac:dyDescent="0.25">
      <c r="A3" s="23" t="s">
        <v>35</v>
      </c>
      <c r="B3" s="24" t="s">
        <v>0</v>
      </c>
      <c r="C3" s="23" t="s">
        <v>87</v>
      </c>
      <c r="D3" s="23"/>
      <c r="E3" s="23"/>
      <c r="F3" s="23"/>
      <c r="G3" s="23" t="s">
        <v>88</v>
      </c>
      <c r="H3" s="23"/>
      <c r="I3" s="23"/>
      <c r="J3" s="23"/>
      <c r="K3" s="23" t="s">
        <v>89</v>
      </c>
      <c r="L3" s="23"/>
      <c r="M3" s="23"/>
      <c r="N3" s="23"/>
    </row>
    <row r="4" spans="1:14" s="7" customFormat="1" ht="33.75" customHeight="1" x14ac:dyDescent="0.25">
      <c r="A4" s="23"/>
      <c r="B4" s="24"/>
      <c r="C4" s="20" t="s">
        <v>29</v>
      </c>
      <c r="D4" s="20" t="s">
        <v>30</v>
      </c>
      <c r="E4" s="20" t="s">
        <v>31</v>
      </c>
      <c r="F4" s="20" t="s">
        <v>32</v>
      </c>
      <c r="G4" s="20" t="s">
        <v>29</v>
      </c>
      <c r="H4" s="20" t="s">
        <v>30</v>
      </c>
      <c r="I4" s="20" t="s">
        <v>31</v>
      </c>
      <c r="J4" s="20" t="s">
        <v>32</v>
      </c>
      <c r="K4" s="20" t="s">
        <v>29</v>
      </c>
      <c r="L4" s="20" t="s">
        <v>30</v>
      </c>
      <c r="M4" s="20" t="s">
        <v>31</v>
      </c>
      <c r="N4" s="20" t="s">
        <v>32</v>
      </c>
    </row>
    <row r="5" spans="1:14" ht="27" customHeight="1" x14ac:dyDescent="0.25">
      <c r="A5" s="29" t="s">
        <v>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s="4" customFormat="1" ht="19.5" customHeight="1" x14ac:dyDescent="0.25">
      <c r="A6" s="3">
        <v>1</v>
      </c>
      <c r="B6" s="9" t="s">
        <v>2</v>
      </c>
      <c r="C6" s="10">
        <v>362403</v>
      </c>
      <c r="D6" s="10">
        <v>332534</v>
      </c>
      <c r="E6" s="10">
        <v>4303.0434000000005</v>
      </c>
      <c r="F6" s="10">
        <v>8040.2694999999976</v>
      </c>
      <c r="G6" s="10">
        <v>377431</v>
      </c>
      <c r="H6" s="10">
        <v>340608</v>
      </c>
      <c r="I6" s="10">
        <v>3756.368300000001</v>
      </c>
      <c r="J6" s="10">
        <v>7898.5345999999981</v>
      </c>
      <c r="K6" s="10">
        <v>411044</v>
      </c>
      <c r="L6" s="10">
        <v>391765</v>
      </c>
      <c r="M6" s="10">
        <v>4469.6082999999999</v>
      </c>
      <c r="N6" s="10">
        <v>7725.2032999999992</v>
      </c>
    </row>
    <row r="7" spans="1:14" s="4" customFormat="1" ht="19.5" customHeight="1" x14ac:dyDescent="0.25">
      <c r="A7" s="3">
        <v>2</v>
      </c>
      <c r="B7" s="9" t="s">
        <v>55</v>
      </c>
      <c r="C7" s="10">
        <v>177167</v>
      </c>
      <c r="D7" s="10">
        <v>210377</v>
      </c>
      <c r="E7" s="10">
        <v>131.428</v>
      </c>
      <c r="F7" s="10">
        <v>2046.1080000000002</v>
      </c>
      <c r="G7" s="10">
        <v>203720</v>
      </c>
      <c r="H7" s="10">
        <v>202707</v>
      </c>
      <c r="I7" s="10">
        <v>104.76899999999999</v>
      </c>
      <c r="J7" s="10">
        <v>1933.7330000000002</v>
      </c>
      <c r="K7" s="10">
        <v>218423</v>
      </c>
      <c r="L7" s="10">
        <v>212780</v>
      </c>
      <c r="M7" s="10">
        <v>30.512000000000004</v>
      </c>
      <c r="N7" s="10">
        <v>1224.5049999999997</v>
      </c>
    </row>
    <row r="8" spans="1:14" s="4" customFormat="1" ht="19.5" customHeight="1" x14ac:dyDescent="0.25">
      <c r="A8" s="3">
        <v>3</v>
      </c>
      <c r="B8" s="9" t="s">
        <v>77</v>
      </c>
      <c r="C8" s="10">
        <v>1521</v>
      </c>
      <c r="D8" s="10">
        <v>1337</v>
      </c>
      <c r="E8" s="10" t="s">
        <v>102</v>
      </c>
      <c r="F8" s="10" t="s">
        <v>102</v>
      </c>
      <c r="G8" s="10">
        <v>1034</v>
      </c>
      <c r="H8" s="10">
        <v>1043</v>
      </c>
      <c r="I8" s="10" t="s">
        <v>102</v>
      </c>
      <c r="J8" s="10" t="s">
        <v>102</v>
      </c>
      <c r="K8" s="10">
        <v>1284</v>
      </c>
      <c r="L8" s="10">
        <v>1287</v>
      </c>
      <c r="M8" s="10" t="s">
        <v>102</v>
      </c>
      <c r="N8" s="10" t="s">
        <v>102</v>
      </c>
    </row>
    <row r="9" spans="1:14" s="4" customFormat="1" ht="19.5" customHeight="1" x14ac:dyDescent="0.25">
      <c r="A9" s="3">
        <v>4</v>
      </c>
      <c r="B9" s="9" t="s">
        <v>56</v>
      </c>
      <c r="C9" s="10">
        <v>495958</v>
      </c>
      <c r="D9" s="10">
        <v>483925</v>
      </c>
      <c r="E9" s="10">
        <v>384.8069999999999</v>
      </c>
      <c r="F9" s="10">
        <v>1796.8720000000001</v>
      </c>
      <c r="G9" s="10">
        <v>547463</v>
      </c>
      <c r="H9" s="10">
        <v>498360</v>
      </c>
      <c r="I9" s="10">
        <v>357.94199999999989</v>
      </c>
      <c r="J9" s="10">
        <v>1838.0789999999993</v>
      </c>
      <c r="K9" s="10">
        <v>574588</v>
      </c>
      <c r="L9" s="10">
        <v>548877</v>
      </c>
      <c r="M9" s="10">
        <v>334.57499999999987</v>
      </c>
      <c r="N9" s="10">
        <v>1721.3529999999998</v>
      </c>
    </row>
    <row r="10" spans="1:14" s="4" customFormat="1" ht="19.5" customHeight="1" x14ac:dyDescent="0.25">
      <c r="A10" s="3">
        <v>5</v>
      </c>
      <c r="B10" s="9" t="s">
        <v>57</v>
      </c>
      <c r="C10" s="10">
        <v>73313</v>
      </c>
      <c r="D10" s="10">
        <v>76491</v>
      </c>
      <c r="E10" s="10">
        <v>3.6092</v>
      </c>
      <c r="F10" s="10">
        <v>404.43669</v>
      </c>
      <c r="G10" s="10">
        <v>77803</v>
      </c>
      <c r="H10" s="10">
        <v>74662</v>
      </c>
      <c r="I10" s="10">
        <v>16.729559999999999</v>
      </c>
      <c r="J10" s="10">
        <v>8.9909499999999998</v>
      </c>
      <c r="K10" s="10">
        <v>86444</v>
      </c>
      <c r="L10" s="10">
        <v>90042</v>
      </c>
      <c r="M10" s="10">
        <v>9.3687400000000007</v>
      </c>
      <c r="N10" s="10">
        <v>28.536810000000003</v>
      </c>
    </row>
    <row r="11" spans="1:14" s="4" customFormat="1" ht="19.5" customHeight="1" x14ac:dyDescent="0.25">
      <c r="A11" s="3">
        <v>6</v>
      </c>
      <c r="B11" s="12" t="s">
        <v>78</v>
      </c>
      <c r="C11" s="10">
        <v>94246</v>
      </c>
      <c r="D11" s="10">
        <v>88114</v>
      </c>
      <c r="E11" s="10">
        <v>732.51991999999984</v>
      </c>
      <c r="F11" s="10">
        <v>1496.3817100000001</v>
      </c>
      <c r="G11" s="10">
        <v>106349</v>
      </c>
      <c r="H11" s="10">
        <v>96727</v>
      </c>
      <c r="I11" s="10">
        <v>880.33618999999999</v>
      </c>
      <c r="J11" s="10">
        <v>1677.8638400000002</v>
      </c>
      <c r="K11" s="10">
        <v>126694</v>
      </c>
      <c r="L11" s="10">
        <v>118297</v>
      </c>
      <c r="M11" s="10">
        <v>1143.8842500000001</v>
      </c>
      <c r="N11" s="10">
        <v>1825.9049799999993</v>
      </c>
    </row>
    <row r="12" spans="1:14" ht="31.5" customHeight="1" x14ac:dyDescent="0.25">
      <c r="A12" s="30" t="s">
        <v>3</v>
      </c>
      <c r="B12" s="30"/>
      <c r="C12" s="5">
        <f>SUM(C6:C11)</f>
        <v>1204608</v>
      </c>
      <c r="D12" s="5">
        <f>SUM(D6:D11)</f>
        <v>1192778</v>
      </c>
      <c r="E12" s="5">
        <f t="shared" ref="E12:N12" si="0">SUM(E6:E11)</f>
        <v>5555.4075199999997</v>
      </c>
      <c r="F12" s="5">
        <f t="shared" si="0"/>
        <v>13784.067899999998</v>
      </c>
      <c r="G12" s="5">
        <f t="shared" si="0"/>
        <v>1313800</v>
      </c>
      <c r="H12" s="5">
        <f t="shared" si="0"/>
        <v>1214107</v>
      </c>
      <c r="I12" s="5">
        <f t="shared" si="0"/>
        <v>5116.1450500000001</v>
      </c>
      <c r="J12" s="5">
        <f t="shared" si="0"/>
        <v>13357.201389999998</v>
      </c>
      <c r="K12" s="5">
        <f t="shared" si="0"/>
        <v>1418477</v>
      </c>
      <c r="L12" s="5">
        <f t="shared" si="0"/>
        <v>1363048</v>
      </c>
      <c r="M12" s="5">
        <f t="shared" si="0"/>
        <v>5987.9482899999994</v>
      </c>
      <c r="N12" s="5">
        <f t="shared" si="0"/>
        <v>12525.503089999997</v>
      </c>
    </row>
    <row r="13" spans="1:14" ht="28.5" customHeight="1" x14ac:dyDescent="0.25">
      <c r="A13" s="31" t="s">
        <v>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</row>
    <row r="14" spans="1:14" ht="24.75" customHeight="1" x14ac:dyDescent="0.25">
      <c r="A14" s="8">
        <v>1</v>
      </c>
      <c r="B14" s="9" t="s">
        <v>79</v>
      </c>
      <c r="C14" s="10">
        <v>466</v>
      </c>
      <c r="D14" s="10">
        <v>709</v>
      </c>
      <c r="E14" s="11">
        <v>0</v>
      </c>
      <c r="F14" s="11">
        <v>6.0869999999999997</v>
      </c>
      <c r="G14" s="10">
        <v>291</v>
      </c>
      <c r="H14" s="10">
        <v>185</v>
      </c>
      <c r="I14" s="11">
        <v>0</v>
      </c>
      <c r="J14" s="11">
        <v>5.8179999999999996</v>
      </c>
      <c r="K14" s="10">
        <v>408</v>
      </c>
      <c r="L14" s="10">
        <v>301</v>
      </c>
      <c r="M14" s="11">
        <v>0</v>
      </c>
      <c r="N14" s="11">
        <v>5.133</v>
      </c>
    </row>
    <row r="15" spans="1:14" ht="31.5" customHeight="1" x14ac:dyDescent="0.25">
      <c r="A15" s="8">
        <v>2</v>
      </c>
      <c r="B15" s="12" t="s">
        <v>5</v>
      </c>
      <c r="C15" s="10">
        <v>12393</v>
      </c>
      <c r="D15" s="10">
        <v>10712</v>
      </c>
      <c r="E15" s="13">
        <v>21.131999999999998</v>
      </c>
      <c r="F15" s="13">
        <v>178.83699999999999</v>
      </c>
      <c r="G15" s="10">
        <v>14050</v>
      </c>
      <c r="H15" s="10">
        <v>13247</v>
      </c>
      <c r="I15" s="11">
        <v>40.313000000000002</v>
      </c>
      <c r="J15" s="11">
        <v>414.31100000000004</v>
      </c>
      <c r="K15" s="10">
        <v>13762</v>
      </c>
      <c r="L15" s="10">
        <v>11997</v>
      </c>
      <c r="M15" s="11">
        <v>55.179000000000002</v>
      </c>
      <c r="N15" s="11">
        <v>515.79100000000005</v>
      </c>
    </row>
    <row r="16" spans="1:14" ht="31.5" customHeight="1" x14ac:dyDescent="0.25">
      <c r="A16" s="8">
        <v>3</v>
      </c>
      <c r="B16" s="9" t="s">
        <v>6</v>
      </c>
      <c r="C16" s="10">
        <v>0</v>
      </c>
      <c r="D16" s="10">
        <v>0</v>
      </c>
      <c r="E16" s="11">
        <v>5373.8009999999995</v>
      </c>
      <c r="F16" s="11">
        <v>6526.9500000000007</v>
      </c>
      <c r="G16" s="10">
        <v>0</v>
      </c>
      <c r="H16" s="10">
        <v>0</v>
      </c>
      <c r="I16" s="11">
        <v>5230.8919999999998</v>
      </c>
      <c r="J16" s="11">
        <v>6211.8709999999992</v>
      </c>
      <c r="K16" s="14">
        <v>0</v>
      </c>
      <c r="L16" s="14">
        <v>0</v>
      </c>
      <c r="M16" s="13">
        <v>5940.7080000000005</v>
      </c>
      <c r="N16" s="13">
        <v>6173.2870000000003</v>
      </c>
    </row>
    <row r="17" spans="1:17" ht="31.5" customHeight="1" x14ac:dyDescent="0.25">
      <c r="A17" s="8">
        <v>4</v>
      </c>
      <c r="B17" s="9" t="s">
        <v>7</v>
      </c>
      <c r="C17" s="10">
        <v>75730</v>
      </c>
      <c r="D17" s="10">
        <v>74833</v>
      </c>
      <c r="E17" s="11">
        <v>159.40800000000002</v>
      </c>
      <c r="F17" s="11">
        <v>913.10200000000009</v>
      </c>
      <c r="G17" s="10">
        <v>75677</v>
      </c>
      <c r="H17" s="10">
        <v>70775</v>
      </c>
      <c r="I17" s="11">
        <v>63.775000000000006</v>
      </c>
      <c r="J17" s="11">
        <v>974.27</v>
      </c>
      <c r="K17" s="10">
        <v>80145</v>
      </c>
      <c r="L17" s="10">
        <v>78158</v>
      </c>
      <c r="M17" s="11">
        <v>63.832000000000008</v>
      </c>
      <c r="N17" s="11">
        <v>953.91000000000008</v>
      </c>
    </row>
    <row r="18" spans="1:17" ht="31.5" customHeight="1" x14ac:dyDescent="0.25">
      <c r="A18" s="8">
        <v>5</v>
      </c>
      <c r="B18" s="9" t="s">
        <v>64</v>
      </c>
      <c r="C18" s="10">
        <v>31676</v>
      </c>
      <c r="D18" s="10">
        <v>39978</v>
      </c>
      <c r="E18" s="11">
        <v>73.115000000000009</v>
      </c>
      <c r="F18" s="11">
        <v>368.66999999999996</v>
      </c>
      <c r="G18" s="10">
        <v>36700</v>
      </c>
      <c r="H18" s="10">
        <v>34840</v>
      </c>
      <c r="I18" s="11">
        <v>165.94900000000001</v>
      </c>
      <c r="J18" s="11">
        <v>213.85599999999999</v>
      </c>
      <c r="K18" s="10">
        <v>44773</v>
      </c>
      <c r="L18" s="10">
        <v>38517</v>
      </c>
      <c r="M18" s="11">
        <v>34.324000000000005</v>
      </c>
      <c r="N18" s="11">
        <v>211.95999999999998</v>
      </c>
    </row>
    <row r="19" spans="1:17" ht="31.5" customHeight="1" x14ac:dyDescent="0.25">
      <c r="A19" s="8">
        <v>6</v>
      </c>
      <c r="B19" s="9" t="s">
        <v>58</v>
      </c>
      <c r="C19" s="14">
        <v>37023</v>
      </c>
      <c r="D19" s="14">
        <v>37363</v>
      </c>
      <c r="E19" s="11">
        <v>127.50500000000001</v>
      </c>
      <c r="F19" s="11">
        <v>402.23600000000005</v>
      </c>
      <c r="G19" s="10">
        <v>41789</v>
      </c>
      <c r="H19" s="10">
        <v>34900</v>
      </c>
      <c r="I19" s="11">
        <v>109.24600000000001</v>
      </c>
      <c r="J19" s="11">
        <v>385.59000000000003</v>
      </c>
      <c r="K19" s="10">
        <v>43294</v>
      </c>
      <c r="L19" s="10">
        <v>37093</v>
      </c>
      <c r="M19" s="11">
        <v>117.143</v>
      </c>
      <c r="N19" s="11">
        <v>406.63400000000001</v>
      </c>
    </row>
    <row r="20" spans="1:17" s="6" customFormat="1" ht="27.95" customHeight="1" x14ac:dyDescent="0.25">
      <c r="A20" s="8">
        <v>7</v>
      </c>
      <c r="B20" s="15" t="s">
        <v>45</v>
      </c>
      <c r="C20" s="14">
        <v>5686</v>
      </c>
      <c r="D20" s="14">
        <v>5127</v>
      </c>
      <c r="E20" s="11">
        <v>258.45800000000003</v>
      </c>
      <c r="F20" s="11">
        <v>239.946</v>
      </c>
      <c r="G20" s="10">
        <v>5638</v>
      </c>
      <c r="H20" s="10">
        <v>4727</v>
      </c>
      <c r="I20" s="11">
        <v>102.72499999999999</v>
      </c>
      <c r="J20" s="11">
        <v>190.22300000000001</v>
      </c>
      <c r="K20" s="10">
        <v>6061</v>
      </c>
      <c r="L20" s="10">
        <v>5992</v>
      </c>
      <c r="M20" s="11">
        <v>163.57400000000001</v>
      </c>
      <c r="N20" s="11">
        <v>229.61</v>
      </c>
      <c r="O20" s="1"/>
      <c r="P20" s="1"/>
      <c r="Q20" s="1"/>
    </row>
    <row r="21" spans="1:17" s="6" customFormat="1" ht="27.95" customHeight="1" x14ac:dyDescent="0.25">
      <c r="A21" s="8">
        <v>8</v>
      </c>
      <c r="B21" s="12" t="s">
        <v>95</v>
      </c>
      <c r="C21" s="10">
        <v>7248</v>
      </c>
      <c r="D21" s="10">
        <v>7946</v>
      </c>
      <c r="E21" s="11">
        <v>1.7370000000000001</v>
      </c>
      <c r="F21" s="11">
        <v>62.402000000000001</v>
      </c>
      <c r="G21" s="14">
        <v>6004</v>
      </c>
      <c r="H21" s="14">
        <v>5954</v>
      </c>
      <c r="I21" s="13">
        <v>3.194</v>
      </c>
      <c r="J21" s="13">
        <v>60.447000000000003</v>
      </c>
      <c r="K21" s="14">
        <v>7000</v>
      </c>
      <c r="L21" s="14">
        <v>6443</v>
      </c>
      <c r="M21" s="13">
        <v>1.286</v>
      </c>
      <c r="N21" s="13">
        <v>84.113</v>
      </c>
      <c r="O21" s="1"/>
      <c r="P21" s="1"/>
      <c r="Q21" s="1"/>
    </row>
    <row r="22" spans="1:17" s="6" customFormat="1" ht="27.95" customHeight="1" x14ac:dyDescent="0.25">
      <c r="A22" s="8">
        <v>9</v>
      </c>
      <c r="B22" s="9" t="s">
        <v>40</v>
      </c>
      <c r="C22" s="10">
        <v>12994</v>
      </c>
      <c r="D22" s="10">
        <v>11869</v>
      </c>
      <c r="E22" s="11">
        <v>171.57499999999999</v>
      </c>
      <c r="F22" s="11">
        <v>291.05799999999999</v>
      </c>
      <c r="G22" s="10">
        <v>13834</v>
      </c>
      <c r="H22" s="10">
        <v>11666</v>
      </c>
      <c r="I22" s="11">
        <v>124.42399999999999</v>
      </c>
      <c r="J22" s="11">
        <v>337.82300000000004</v>
      </c>
      <c r="K22" s="10">
        <v>15331</v>
      </c>
      <c r="L22" s="10">
        <v>14254</v>
      </c>
      <c r="M22" s="11">
        <v>149.75600000000003</v>
      </c>
      <c r="N22" s="11">
        <v>156.44300000000001</v>
      </c>
      <c r="O22" s="1"/>
      <c r="P22" s="1"/>
      <c r="Q22" s="1"/>
    </row>
    <row r="23" spans="1:17" s="6" customFormat="1" ht="27.75" customHeight="1" x14ac:dyDescent="0.25">
      <c r="A23" s="8">
        <v>10</v>
      </c>
      <c r="B23" s="9" t="s">
        <v>41</v>
      </c>
      <c r="C23" s="10">
        <v>26966</v>
      </c>
      <c r="D23" s="10">
        <v>26556</v>
      </c>
      <c r="E23" s="11">
        <v>799.27599999999995</v>
      </c>
      <c r="F23" s="11">
        <v>1160.8180000000002</v>
      </c>
      <c r="G23" s="10">
        <v>29724</v>
      </c>
      <c r="H23" s="10">
        <v>26717</v>
      </c>
      <c r="I23" s="11">
        <v>800.41099999999994</v>
      </c>
      <c r="J23" s="11">
        <v>1473.7130000000002</v>
      </c>
      <c r="K23" s="10">
        <v>31067</v>
      </c>
      <c r="L23" s="10">
        <v>29922</v>
      </c>
      <c r="M23" s="11">
        <v>769.69299999999998</v>
      </c>
      <c r="N23" s="11">
        <v>1188.0360000000001</v>
      </c>
      <c r="O23" s="1"/>
      <c r="P23" s="1"/>
      <c r="Q23" s="1"/>
    </row>
    <row r="24" spans="1:17" s="6" customFormat="1" ht="27.75" customHeight="1" x14ac:dyDescent="0.25">
      <c r="A24" s="8">
        <v>11</v>
      </c>
      <c r="B24" s="9" t="s">
        <v>46</v>
      </c>
      <c r="C24" s="10">
        <v>5688</v>
      </c>
      <c r="D24" s="10">
        <v>6002</v>
      </c>
      <c r="E24" s="11">
        <v>39.912999999999997</v>
      </c>
      <c r="F24" s="11">
        <v>319.685</v>
      </c>
      <c r="G24" s="10">
        <v>7766</v>
      </c>
      <c r="H24" s="10">
        <v>7209</v>
      </c>
      <c r="I24" s="11">
        <v>4.9000000000000004</v>
      </c>
      <c r="J24" s="11">
        <v>352.875</v>
      </c>
      <c r="K24" s="10">
        <v>8188</v>
      </c>
      <c r="L24" s="10">
        <v>8349</v>
      </c>
      <c r="M24" s="11">
        <v>3.2119999999999997</v>
      </c>
      <c r="N24" s="11">
        <v>497.62900000000002</v>
      </c>
      <c r="O24" s="1"/>
      <c r="P24" s="1"/>
      <c r="Q24" s="1"/>
    </row>
    <row r="25" spans="1:17" s="6" customFormat="1" ht="27.75" customHeight="1" x14ac:dyDescent="0.25">
      <c r="A25" s="8">
        <v>12</v>
      </c>
      <c r="B25" s="15" t="s">
        <v>53</v>
      </c>
      <c r="C25" s="14">
        <v>383</v>
      </c>
      <c r="D25" s="14">
        <v>317</v>
      </c>
      <c r="E25" s="11">
        <v>0.36</v>
      </c>
      <c r="F25" s="11">
        <v>3.1779999999999999</v>
      </c>
      <c r="G25" s="10">
        <v>755</v>
      </c>
      <c r="H25" s="10">
        <v>743</v>
      </c>
      <c r="I25" s="11">
        <v>0</v>
      </c>
      <c r="J25" s="11">
        <v>12.355</v>
      </c>
      <c r="K25" s="10">
        <v>670</v>
      </c>
      <c r="L25" s="10">
        <v>766</v>
      </c>
      <c r="M25" s="11">
        <v>0.04</v>
      </c>
      <c r="N25" s="11">
        <v>3.3180000000000001</v>
      </c>
      <c r="O25" s="1"/>
      <c r="P25" s="1"/>
      <c r="Q25" s="1"/>
    </row>
    <row r="26" spans="1:17" s="6" customFormat="1" ht="27.75" customHeight="1" x14ac:dyDescent="0.25">
      <c r="A26" s="8">
        <v>13</v>
      </c>
      <c r="B26" s="9" t="s">
        <v>65</v>
      </c>
      <c r="C26" s="10">
        <v>1748</v>
      </c>
      <c r="D26" s="10">
        <v>1541</v>
      </c>
      <c r="E26" s="11">
        <v>2E-3</v>
      </c>
      <c r="F26" s="11">
        <v>12.943100000000001</v>
      </c>
      <c r="G26" s="10">
        <v>2207</v>
      </c>
      <c r="H26" s="10">
        <v>1680</v>
      </c>
      <c r="I26" s="11">
        <v>0</v>
      </c>
      <c r="J26" s="11">
        <v>13.447799999999999</v>
      </c>
      <c r="K26" s="10">
        <v>3103</v>
      </c>
      <c r="L26" s="10">
        <v>2373</v>
      </c>
      <c r="M26" s="11">
        <v>1.9359999999999999</v>
      </c>
      <c r="N26" s="11">
        <v>34.292199999999994</v>
      </c>
      <c r="O26" s="1"/>
      <c r="P26" s="1"/>
      <c r="Q26" s="1"/>
    </row>
    <row r="27" spans="1:17" s="6" customFormat="1" ht="27.75" customHeight="1" x14ac:dyDescent="0.25">
      <c r="A27" s="8">
        <v>14</v>
      </c>
      <c r="B27" s="9" t="s">
        <v>44</v>
      </c>
      <c r="C27" s="10">
        <v>4554</v>
      </c>
      <c r="D27" s="10">
        <v>4988</v>
      </c>
      <c r="E27" s="11">
        <v>349.28</v>
      </c>
      <c r="F27" s="11">
        <v>350.303</v>
      </c>
      <c r="G27" s="10">
        <v>4593</v>
      </c>
      <c r="H27" s="10">
        <v>4676</v>
      </c>
      <c r="I27" s="11">
        <v>276.73200000000003</v>
      </c>
      <c r="J27" s="11">
        <v>269.79500000000002</v>
      </c>
      <c r="K27" s="10">
        <v>4792</v>
      </c>
      <c r="L27" s="10">
        <v>5060</v>
      </c>
      <c r="M27" s="11">
        <v>314.67099999999999</v>
      </c>
      <c r="N27" s="11">
        <v>335.34</v>
      </c>
      <c r="O27" s="1"/>
      <c r="P27" s="1"/>
      <c r="Q27" s="1"/>
    </row>
    <row r="28" spans="1:17" s="6" customFormat="1" ht="27.75" customHeight="1" x14ac:dyDescent="0.25">
      <c r="A28" s="8">
        <v>15</v>
      </c>
      <c r="B28" s="9" t="s">
        <v>66</v>
      </c>
      <c r="C28" s="10">
        <v>8357</v>
      </c>
      <c r="D28" s="10">
        <v>4811</v>
      </c>
      <c r="E28" s="11">
        <v>103.306</v>
      </c>
      <c r="F28" s="11">
        <v>72.813999999999993</v>
      </c>
      <c r="G28" s="10">
        <v>8248</v>
      </c>
      <c r="H28" s="10">
        <v>4673</v>
      </c>
      <c r="I28" s="11">
        <v>53.740099999999998</v>
      </c>
      <c r="J28" s="11">
        <v>98.251499999999993</v>
      </c>
      <c r="K28" s="10">
        <v>8729</v>
      </c>
      <c r="L28" s="10">
        <v>5414</v>
      </c>
      <c r="M28" s="11">
        <v>68.916600000000003</v>
      </c>
      <c r="N28" s="11">
        <v>86.32</v>
      </c>
      <c r="O28" s="1"/>
      <c r="P28" s="1"/>
      <c r="Q28" s="1"/>
    </row>
    <row r="29" spans="1:17" s="6" customFormat="1" ht="27.75" customHeight="1" x14ac:dyDescent="0.25">
      <c r="A29" s="8">
        <v>16</v>
      </c>
      <c r="B29" s="9" t="s">
        <v>67</v>
      </c>
      <c r="C29" s="10">
        <v>0</v>
      </c>
      <c r="D29" s="10">
        <v>0</v>
      </c>
      <c r="E29" s="11">
        <v>12.962</v>
      </c>
      <c r="F29" s="11">
        <v>34.866</v>
      </c>
      <c r="G29" s="10">
        <v>0</v>
      </c>
      <c r="H29" s="10">
        <v>0</v>
      </c>
      <c r="I29" s="11">
        <v>9.17</v>
      </c>
      <c r="J29" s="11">
        <v>43.896999999999998</v>
      </c>
      <c r="K29" s="10">
        <v>0</v>
      </c>
      <c r="L29" s="10">
        <v>0</v>
      </c>
      <c r="M29" s="11">
        <v>17.016999999999999</v>
      </c>
      <c r="N29" s="11">
        <v>87.718999999999994</v>
      </c>
      <c r="O29" s="1"/>
      <c r="P29" s="1"/>
      <c r="Q29" s="1"/>
    </row>
    <row r="30" spans="1:17" s="6" customFormat="1" ht="27.75" customHeight="1" x14ac:dyDescent="0.25">
      <c r="A30" s="8">
        <v>17</v>
      </c>
      <c r="B30" s="9" t="s">
        <v>90</v>
      </c>
      <c r="C30" s="10">
        <v>2700</v>
      </c>
      <c r="D30" s="10">
        <v>3063</v>
      </c>
      <c r="E30" s="11">
        <v>67.692599999999999</v>
      </c>
      <c r="F30" s="11">
        <v>27.2682</v>
      </c>
      <c r="G30" s="10">
        <v>3433</v>
      </c>
      <c r="H30" s="10">
        <v>2431</v>
      </c>
      <c r="I30" s="11">
        <v>37.628300000000003</v>
      </c>
      <c r="J30" s="11">
        <v>17.7437</v>
      </c>
      <c r="K30" s="10">
        <v>2937</v>
      </c>
      <c r="L30" s="10">
        <v>3331</v>
      </c>
      <c r="M30" s="11">
        <v>55.770800000000001</v>
      </c>
      <c r="N30" s="11">
        <v>16.488799999999998</v>
      </c>
      <c r="O30" s="1"/>
      <c r="P30" s="1"/>
      <c r="Q30" s="1"/>
    </row>
    <row r="31" spans="1:17" s="6" customFormat="1" ht="27.75" customHeight="1" x14ac:dyDescent="0.25">
      <c r="A31" s="8">
        <v>18</v>
      </c>
      <c r="B31" s="9" t="s">
        <v>76</v>
      </c>
      <c r="C31" s="10">
        <v>1690</v>
      </c>
      <c r="D31" s="10">
        <v>1816</v>
      </c>
      <c r="E31" s="11">
        <v>0</v>
      </c>
      <c r="F31" s="11">
        <v>34.302999999999997</v>
      </c>
      <c r="G31" s="10">
        <v>1426</v>
      </c>
      <c r="H31" s="10">
        <v>1390</v>
      </c>
      <c r="I31" s="11">
        <v>0</v>
      </c>
      <c r="J31" s="11">
        <v>22.408000000000001</v>
      </c>
      <c r="K31" s="10">
        <v>1934</v>
      </c>
      <c r="L31" s="10">
        <v>1826</v>
      </c>
      <c r="M31" s="13">
        <v>0</v>
      </c>
      <c r="N31" s="13">
        <v>11.808999999999999</v>
      </c>
      <c r="O31" s="1"/>
      <c r="P31" s="1"/>
      <c r="Q31" s="1"/>
    </row>
    <row r="32" spans="1:17" s="6" customFormat="1" ht="27.75" customHeight="1" x14ac:dyDescent="0.25">
      <c r="A32" s="8">
        <v>19</v>
      </c>
      <c r="B32" s="9" t="s">
        <v>80</v>
      </c>
      <c r="C32" s="10">
        <v>3300</v>
      </c>
      <c r="D32" s="10">
        <v>3427</v>
      </c>
      <c r="E32" s="11">
        <v>0</v>
      </c>
      <c r="F32" s="11">
        <v>0</v>
      </c>
      <c r="G32" s="10">
        <v>3767</v>
      </c>
      <c r="H32" s="10">
        <v>3185</v>
      </c>
      <c r="I32" s="11">
        <v>0</v>
      </c>
      <c r="J32" s="11">
        <v>8.2929999999999993</v>
      </c>
      <c r="K32" s="10">
        <v>3886</v>
      </c>
      <c r="L32" s="10">
        <v>3703</v>
      </c>
      <c r="M32" s="11">
        <v>0</v>
      </c>
      <c r="N32" s="11">
        <v>6.9290000000000003</v>
      </c>
      <c r="O32" s="1"/>
      <c r="P32" s="1"/>
      <c r="Q32" s="1"/>
    </row>
    <row r="33" spans="1:17" s="6" customFormat="1" ht="27.75" customHeight="1" x14ac:dyDescent="0.25">
      <c r="A33" s="8">
        <v>20</v>
      </c>
      <c r="B33" s="9" t="s">
        <v>81</v>
      </c>
      <c r="C33" s="10">
        <v>2416</v>
      </c>
      <c r="D33" s="10">
        <v>2234</v>
      </c>
      <c r="E33" s="11">
        <v>0</v>
      </c>
      <c r="F33" s="11">
        <v>0</v>
      </c>
      <c r="G33" s="14">
        <v>2147</v>
      </c>
      <c r="H33" s="14">
        <v>1878</v>
      </c>
      <c r="I33" s="11">
        <v>0</v>
      </c>
      <c r="J33" s="11">
        <v>0</v>
      </c>
      <c r="K33" s="10">
        <v>2258</v>
      </c>
      <c r="L33" s="10">
        <v>1297</v>
      </c>
      <c r="M33" s="11">
        <v>0</v>
      </c>
      <c r="N33" s="11">
        <v>0</v>
      </c>
      <c r="O33" s="1"/>
      <c r="P33" s="1"/>
      <c r="Q33" s="1"/>
    </row>
    <row r="34" spans="1:17" s="6" customFormat="1" ht="27.75" customHeight="1" x14ac:dyDescent="0.25">
      <c r="A34" s="8">
        <v>21</v>
      </c>
      <c r="B34" s="9" t="s">
        <v>8</v>
      </c>
      <c r="C34" s="10">
        <v>7075</v>
      </c>
      <c r="D34" s="10">
        <v>8521</v>
      </c>
      <c r="E34" s="11">
        <v>9.4269999999999996</v>
      </c>
      <c r="F34" s="11">
        <v>70.56</v>
      </c>
      <c r="G34" s="14">
        <v>5970</v>
      </c>
      <c r="H34" s="14">
        <v>6989</v>
      </c>
      <c r="I34" s="11">
        <v>52.317</v>
      </c>
      <c r="J34" s="11">
        <v>88.134</v>
      </c>
      <c r="K34" s="10">
        <v>9544</v>
      </c>
      <c r="L34" s="10">
        <v>9721</v>
      </c>
      <c r="M34" s="11">
        <v>3.5529999999999999</v>
      </c>
      <c r="N34" s="11">
        <v>96.055000000000007</v>
      </c>
      <c r="O34" s="1"/>
      <c r="P34" s="1"/>
      <c r="Q34" s="1"/>
    </row>
    <row r="35" spans="1:17" s="6" customFormat="1" ht="27.75" customHeight="1" x14ac:dyDescent="0.25">
      <c r="A35" s="8">
        <v>22</v>
      </c>
      <c r="B35" s="12" t="s">
        <v>72</v>
      </c>
      <c r="C35" s="10">
        <v>56695</v>
      </c>
      <c r="D35" s="10">
        <v>41839</v>
      </c>
      <c r="E35" s="11">
        <v>1518.46</v>
      </c>
      <c r="F35" s="11">
        <v>3656.12</v>
      </c>
      <c r="G35" s="10">
        <v>49245</v>
      </c>
      <c r="H35" s="10">
        <v>38118</v>
      </c>
      <c r="I35" s="11">
        <v>1235.1500000000001</v>
      </c>
      <c r="J35" s="11">
        <v>3175.01</v>
      </c>
      <c r="K35" s="10">
        <v>54659</v>
      </c>
      <c r="L35" s="10">
        <v>46853</v>
      </c>
      <c r="M35" s="11">
        <v>1437.99</v>
      </c>
      <c r="N35" s="11">
        <v>3371.96</v>
      </c>
      <c r="O35" s="1"/>
      <c r="P35" s="1"/>
      <c r="Q35" s="1"/>
    </row>
    <row r="36" spans="1:17" s="6" customFormat="1" ht="27.95" customHeight="1" x14ac:dyDescent="0.25">
      <c r="A36" s="8">
        <v>23</v>
      </c>
      <c r="B36" s="9" t="s">
        <v>91</v>
      </c>
      <c r="C36" s="10">
        <v>480</v>
      </c>
      <c r="D36" s="10">
        <v>476</v>
      </c>
      <c r="E36" s="11">
        <v>0</v>
      </c>
      <c r="F36" s="11">
        <v>0</v>
      </c>
      <c r="G36" s="10">
        <v>515</v>
      </c>
      <c r="H36" s="10">
        <v>498</v>
      </c>
      <c r="I36" s="11">
        <v>0</v>
      </c>
      <c r="J36" s="11">
        <v>0</v>
      </c>
      <c r="K36" s="10">
        <v>588</v>
      </c>
      <c r="L36" s="10">
        <v>510</v>
      </c>
      <c r="M36" s="11">
        <v>0</v>
      </c>
      <c r="N36" s="11">
        <v>0</v>
      </c>
      <c r="O36" s="1"/>
      <c r="P36" s="1"/>
      <c r="Q36" s="1"/>
    </row>
    <row r="37" spans="1:17" s="6" customFormat="1" ht="27.95" customHeight="1" x14ac:dyDescent="0.25">
      <c r="A37" s="8">
        <v>24</v>
      </c>
      <c r="B37" s="9" t="s">
        <v>9</v>
      </c>
      <c r="C37" s="10">
        <v>27739</v>
      </c>
      <c r="D37" s="10">
        <v>32661</v>
      </c>
      <c r="E37" s="11">
        <v>7038.1082000000006</v>
      </c>
      <c r="F37" s="11">
        <v>4769.33986</v>
      </c>
      <c r="G37" s="10">
        <v>35086</v>
      </c>
      <c r="H37" s="10">
        <v>32810</v>
      </c>
      <c r="I37" s="11">
        <v>6402.4234999999999</v>
      </c>
      <c r="J37" s="11">
        <v>2374.9677099999999</v>
      </c>
      <c r="K37" s="10">
        <v>34826</v>
      </c>
      <c r="L37" s="10">
        <v>33285</v>
      </c>
      <c r="M37" s="11">
        <v>6083.2206999999999</v>
      </c>
      <c r="N37" s="11">
        <v>2854.2380800000001</v>
      </c>
      <c r="O37" s="1"/>
      <c r="P37" s="1"/>
      <c r="Q37" s="1"/>
    </row>
    <row r="38" spans="1:17" s="6" customFormat="1" ht="27.95" customHeight="1" x14ac:dyDescent="0.25">
      <c r="A38" s="8">
        <v>25</v>
      </c>
      <c r="B38" s="15" t="s">
        <v>59</v>
      </c>
      <c r="C38" s="10">
        <v>0</v>
      </c>
      <c r="D38" s="10">
        <v>0</v>
      </c>
      <c r="E38" s="11">
        <v>139.792</v>
      </c>
      <c r="F38" s="11">
        <v>195.34699999999998</v>
      </c>
      <c r="G38" s="14">
        <v>0</v>
      </c>
      <c r="H38" s="14">
        <v>0</v>
      </c>
      <c r="I38" s="11">
        <v>121.992</v>
      </c>
      <c r="J38" s="11">
        <v>158.82900000000001</v>
      </c>
      <c r="K38" s="10">
        <v>0</v>
      </c>
      <c r="L38" s="10">
        <v>0</v>
      </c>
      <c r="M38" s="11">
        <v>83.682999999999993</v>
      </c>
      <c r="N38" s="11">
        <v>133.857</v>
      </c>
      <c r="O38" s="1"/>
      <c r="P38" s="1"/>
      <c r="Q38" s="1"/>
    </row>
    <row r="39" spans="1:17" s="6" customFormat="1" ht="27.95" customHeight="1" x14ac:dyDescent="0.25">
      <c r="A39" s="8">
        <v>26</v>
      </c>
      <c r="B39" s="12" t="s">
        <v>10</v>
      </c>
      <c r="C39" s="10">
        <v>4148</v>
      </c>
      <c r="D39" s="10">
        <v>3915</v>
      </c>
      <c r="E39" s="11">
        <v>0.22650000000000001</v>
      </c>
      <c r="F39" s="11">
        <v>3.5276000000000001</v>
      </c>
      <c r="G39" s="10">
        <v>3754</v>
      </c>
      <c r="H39" s="10">
        <v>2894</v>
      </c>
      <c r="I39" s="11">
        <v>0.72450000000000003</v>
      </c>
      <c r="J39" s="11">
        <v>3.8904999999999998</v>
      </c>
      <c r="K39" s="10">
        <v>3696</v>
      </c>
      <c r="L39" s="10">
        <v>3113</v>
      </c>
      <c r="M39" s="11">
        <v>0.39660000000000001</v>
      </c>
      <c r="N39" s="11">
        <v>6.6307999999999998</v>
      </c>
      <c r="O39" s="1"/>
      <c r="P39" s="1"/>
      <c r="Q39" s="1"/>
    </row>
    <row r="40" spans="1:17" s="6" customFormat="1" ht="27.95" customHeight="1" x14ac:dyDescent="0.25">
      <c r="A40" s="8">
        <v>27</v>
      </c>
      <c r="B40" s="9" t="s">
        <v>96</v>
      </c>
      <c r="C40" s="10">
        <v>2476</v>
      </c>
      <c r="D40" s="10">
        <v>2421</v>
      </c>
      <c r="E40" s="11">
        <v>103.068</v>
      </c>
      <c r="F40" s="11">
        <v>356.50299999999999</v>
      </c>
      <c r="G40" s="10">
        <v>3762</v>
      </c>
      <c r="H40" s="10">
        <v>5067</v>
      </c>
      <c r="I40" s="11">
        <v>192.423</v>
      </c>
      <c r="J40" s="11">
        <v>345.05100000000004</v>
      </c>
      <c r="K40" s="10">
        <v>4699</v>
      </c>
      <c r="L40" s="10">
        <v>4002</v>
      </c>
      <c r="M40" s="11">
        <v>71.176999999999992</v>
      </c>
      <c r="N40" s="11">
        <v>367.28100000000001</v>
      </c>
      <c r="O40" s="1"/>
      <c r="P40" s="1"/>
      <c r="Q40" s="1"/>
    </row>
    <row r="41" spans="1:17" s="6" customFormat="1" ht="27.95" customHeight="1" x14ac:dyDescent="0.25">
      <c r="A41" s="8">
        <v>28</v>
      </c>
      <c r="B41" s="9" t="s">
        <v>36</v>
      </c>
      <c r="C41" s="10">
        <v>231157</v>
      </c>
      <c r="D41" s="10">
        <v>208872</v>
      </c>
      <c r="E41" s="11">
        <v>4527.6097</v>
      </c>
      <c r="F41" s="11">
        <v>10632.985430999999</v>
      </c>
      <c r="G41" s="10">
        <v>246719</v>
      </c>
      <c r="H41" s="10">
        <v>211119</v>
      </c>
      <c r="I41" s="11">
        <v>3575.2787900000003</v>
      </c>
      <c r="J41" s="11">
        <v>9753.6011150000013</v>
      </c>
      <c r="K41" s="10">
        <v>254161</v>
      </c>
      <c r="L41" s="10">
        <v>241568</v>
      </c>
      <c r="M41" s="11">
        <v>4134.5231999999996</v>
      </c>
      <c r="N41" s="11">
        <v>9468.425138999999</v>
      </c>
      <c r="O41" s="1"/>
      <c r="P41" s="1"/>
      <c r="Q41" s="1"/>
    </row>
    <row r="42" spans="1:17" s="6" customFormat="1" ht="27.95" customHeight="1" x14ac:dyDescent="0.25">
      <c r="A42" s="8">
        <v>29</v>
      </c>
      <c r="B42" s="9" t="s">
        <v>37</v>
      </c>
      <c r="C42" s="10">
        <v>21617</v>
      </c>
      <c r="D42" s="10">
        <v>18900</v>
      </c>
      <c r="E42" s="11">
        <v>27.042999999999999</v>
      </c>
      <c r="F42" s="11">
        <v>522.755</v>
      </c>
      <c r="G42" s="10">
        <v>24318</v>
      </c>
      <c r="H42" s="10">
        <v>19298</v>
      </c>
      <c r="I42" s="11">
        <v>385.28499999999997</v>
      </c>
      <c r="J42" s="11">
        <v>1335.1369999999999</v>
      </c>
      <c r="K42" s="10">
        <v>27532</v>
      </c>
      <c r="L42" s="10">
        <v>22948</v>
      </c>
      <c r="M42" s="13">
        <v>428.21899999999999</v>
      </c>
      <c r="N42" s="13">
        <v>1448.4360000000001</v>
      </c>
      <c r="O42" s="1"/>
      <c r="P42" s="1"/>
      <c r="Q42" s="1"/>
    </row>
    <row r="43" spans="1:17" s="6" customFormat="1" ht="27.95" customHeight="1" x14ac:dyDescent="0.25">
      <c r="A43" s="8">
        <v>30</v>
      </c>
      <c r="B43" s="9" t="s">
        <v>97</v>
      </c>
      <c r="C43" s="10">
        <v>90922</v>
      </c>
      <c r="D43" s="10">
        <v>88313</v>
      </c>
      <c r="E43" s="11">
        <v>877.07369999999992</v>
      </c>
      <c r="F43" s="11">
        <v>1922.769</v>
      </c>
      <c r="G43" s="10">
        <v>61644</v>
      </c>
      <c r="H43" s="10">
        <v>59006</v>
      </c>
      <c r="I43" s="11">
        <v>852.48099999999999</v>
      </c>
      <c r="J43" s="11">
        <v>1696.347</v>
      </c>
      <c r="K43" s="10">
        <v>90218</v>
      </c>
      <c r="L43" s="10">
        <v>92930</v>
      </c>
      <c r="M43" s="13">
        <v>941.91229999999996</v>
      </c>
      <c r="N43" s="13">
        <v>1810.76</v>
      </c>
      <c r="O43" s="1"/>
      <c r="P43" s="1"/>
      <c r="Q43" s="1"/>
    </row>
    <row r="44" spans="1:17" s="6" customFormat="1" ht="27.95" customHeight="1" x14ac:dyDescent="0.25">
      <c r="A44" s="8">
        <v>31</v>
      </c>
      <c r="B44" s="9" t="s">
        <v>11</v>
      </c>
      <c r="C44" s="10">
        <v>0</v>
      </c>
      <c r="D44" s="10">
        <v>0</v>
      </c>
      <c r="E44" s="11">
        <v>1083.8679999999999</v>
      </c>
      <c r="F44" s="11">
        <v>1989.9189999999999</v>
      </c>
      <c r="G44" s="10">
        <v>0</v>
      </c>
      <c r="H44" s="10">
        <v>0</v>
      </c>
      <c r="I44" s="11">
        <v>934.27300000000014</v>
      </c>
      <c r="J44" s="11">
        <v>1796.348</v>
      </c>
      <c r="K44" s="10">
        <v>0</v>
      </c>
      <c r="L44" s="10">
        <v>0</v>
      </c>
      <c r="M44" s="13">
        <v>1005.927</v>
      </c>
      <c r="N44" s="13">
        <v>1815.606</v>
      </c>
      <c r="O44" s="1"/>
      <c r="P44" s="1"/>
      <c r="Q44" s="1"/>
    </row>
    <row r="45" spans="1:17" s="6" customFormat="1" ht="27.95" customHeight="1" x14ac:dyDescent="0.25">
      <c r="A45" s="8">
        <v>32</v>
      </c>
      <c r="B45" s="9" t="s">
        <v>98</v>
      </c>
      <c r="C45" s="10">
        <v>7679</v>
      </c>
      <c r="D45" s="10">
        <v>4966</v>
      </c>
      <c r="E45" s="11">
        <v>196.077</v>
      </c>
      <c r="F45" s="11">
        <v>492.13</v>
      </c>
      <c r="G45" s="10">
        <v>7341</v>
      </c>
      <c r="H45" s="10">
        <v>5893</v>
      </c>
      <c r="I45" s="11">
        <v>117.77800000000001</v>
      </c>
      <c r="J45" s="11">
        <v>377.55</v>
      </c>
      <c r="K45" s="10">
        <v>7921</v>
      </c>
      <c r="L45" s="10">
        <v>6096</v>
      </c>
      <c r="M45" s="13">
        <v>154.19999999999999</v>
      </c>
      <c r="N45" s="13">
        <v>419.84699999999998</v>
      </c>
      <c r="O45" s="1"/>
      <c r="P45" s="1"/>
      <c r="Q45" s="1"/>
    </row>
    <row r="46" spans="1:17" s="6" customFormat="1" ht="27.95" customHeight="1" x14ac:dyDescent="0.25">
      <c r="A46" s="8">
        <v>33</v>
      </c>
      <c r="B46" s="9" t="s">
        <v>82</v>
      </c>
      <c r="C46" s="10">
        <v>1136</v>
      </c>
      <c r="D46" s="10">
        <v>1746</v>
      </c>
      <c r="E46" s="11">
        <v>0</v>
      </c>
      <c r="F46" s="11">
        <v>0</v>
      </c>
      <c r="G46" s="10">
        <v>1926</v>
      </c>
      <c r="H46" s="10">
        <v>1702</v>
      </c>
      <c r="I46" s="11">
        <v>0</v>
      </c>
      <c r="J46" s="11">
        <v>0</v>
      </c>
      <c r="K46" s="10">
        <v>745</v>
      </c>
      <c r="L46" s="10">
        <v>1352</v>
      </c>
      <c r="M46" s="13">
        <v>0</v>
      </c>
      <c r="N46" s="13">
        <v>0</v>
      </c>
      <c r="O46" s="1"/>
      <c r="P46" s="1"/>
      <c r="Q46" s="1"/>
    </row>
    <row r="47" spans="1:17" s="6" customFormat="1" ht="27.95" customHeight="1" x14ac:dyDescent="0.25">
      <c r="A47" s="8">
        <v>34</v>
      </c>
      <c r="B47" s="9" t="s">
        <v>49</v>
      </c>
      <c r="C47" s="10">
        <v>20816</v>
      </c>
      <c r="D47" s="10">
        <v>21432</v>
      </c>
      <c r="E47" s="11">
        <v>15.274000000000001</v>
      </c>
      <c r="F47" s="11">
        <v>171.42099999999999</v>
      </c>
      <c r="G47" s="10">
        <v>21398</v>
      </c>
      <c r="H47" s="10">
        <v>21172</v>
      </c>
      <c r="I47" s="11">
        <v>10.286999999999999</v>
      </c>
      <c r="J47" s="11">
        <v>149.292</v>
      </c>
      <c r="K47" s="10">
        <v>21696</v>
      </c>
      <c r="L47" s="10">
        <v>21991</v>
      </c>
      <c r="M47" s="13">
        <v>13.266</v>
      </c>
      <c r="N47" s="13">
        <v>149.11500000000001</v>
      </c>
      <c r="O47" s="1"/>
      <c r="P47" s="1"/>
      <c r="Q47" s="1"/>
    </row>
    <row r="48" spans="1:17" s="6" customFormat="1" ht="27.95" customHeight="1" x14ac:dyDescent="0.25">
      <c r="A48" s="8">
        <v>35</v>
      </c>
      <c r="B48" s="9" t="s">
        <v>60</v>
      </c>
      <c r="C48" s="10">
        <v>15628</v>
      </c>
      <c r="D48" s="10">
        <v>19862</v>
      </c>
      <c r="E48" s="11">
        <v>74.031999999999996</v>
      </c>
      <c r="F48" s="11">
        <v>165.08199999999999</v>
      </c>
      <c r="G48" s="10">
        <v>20365</v>
      </c>
      <c r="H48" s="10">
        <v>19330</v>
      </c>
      <c r="I48" s="11">
        <v>23.539000000000001</v>
      </c>
      <c r="J48" s="11">
        <v>90.88300000000001</v>
      </c>
      <c r="K48" s="10">
        <v>21669</v>
      </c>
      <c r="L48" s="10">
        <v>22305</v>
      </c>
      <c r="M48" s="13">
        <v>15.637</v>
      </c>
      <c r="N48" s="13">
        <v>154.65799999999999</v>
      </c>
      <c r="O48" s="1"/>
      <c r="P48" s="1"/>
      <c r="Q48" s="1"/>
    </row>
    <row r="49" spans="1:17" s="6" customFormat="1" ht="27.95" customHeight="1" x14ac:dyDescent="0.25">
      <c r="A49" s="8">
        <v>36</v>
      </c>
      <c r="B49" s="9" t="s">
        <v>38</v>
      </c>
      <c r="C49" s="10">
        <v>41104</v>
      </c>
      <c r="D49" s="10">
        <v>38627</v>
      </c>
      <c r="E49" s="11">
        <v>42.210999999999999</v>
      </c>
      <c r="F49" s="11">
        <v>644.779</v>
      </c>
      <c r="G49" s="10">
        <v>47987</v>
      </c>
      <c r="H49" s="10">
        <v>38039</v>
      </c>
      <c r="I49" s="11">
        <v>12.920999999999999</v>
      </c>
      <c r="J49" s="11">
        <v>575.11599999999999</v>
      </c>
      <c r="K49" s="10">
        <v>48860</v>
      </c>
      <c r="L49" s="10">
        <v>43303</v>
      </c>
      <c r="M49" s="13">
        <v>11.968</v>
      </c>
      <c r="N49" s="13">
        <v>567.79499999999996</v>
      </c>
      <c r="O49" s="1"/>
      <c r="P49" s="1"/>
      <c r="Q49" s="1"/>
    </row>
    <row r="50" spans="1:17" s="6" customFormat="1" ht="27.95" customHeight="1" x14ac:dyDescent="0.25">
      <c r="A50" s="8">
        <v>37</v>
      </c>
      <c r="B50" s="9" t="s">
        <v>99</v>
      </c>
      <c r="C50" s="10">
        <v>160</v>
      </c>
      <c r="D50" s="10">
        <v>216</v>
      </c>
      <c r="E50" s="11">
        <v>3.2149999999999999</v>
      </c>
      <c r="F50" s="11">
        <v>0.18</v>
      </c>
      <c r="G50" s="10">
        <v>357</v>
      </c>
      <c r="H50" s="10">
        <v>296</v>
      </c>
      <c r="I50" s="11">
        <v>5.6689999999999996</v>
      </c>
      <c r="J50" s="11">
        <v>6.0190000000000001</v>
      </c>
      <c r="K50" s="10">
        <v>721</v>
      </c>
      <c r="L50" s="10">
        <v>602</v>
      </c>
      <c r="M50" s="13">
        <v>5.7549999999999999</v>
      </c>
      <c r="N50" s="13">
        <v>5.2519999999999998</v>
      </c>
      <c r="O50" s="1"/>
      <c r="P50" s="1"/>
      <c r="Q50" s="1"/>
    </row>
    <row r="51" spans="1:17" s="6" customFormat="1" ht="27.95" customHeight="1" x14ac:dyDescent="0.25">
      <c r="A51" s="8">
        <v>38</v>
      </c>
      <c r="B51" s="9" t="s">
        <v>12</v>
      </c>
      <c r="C51" s="10">
        <v>2700</v>
      </c>
      <c r="D51" s="10">
        <v>2324</v>
      </c>
      <c r="E51" s="11">
        <v>0</v>
      </c>
      <c r="F51" s="11">
        <v>1.8</v>
      </c>
      <c r="G51" s="10">
        <v>2462</v>
      </c>
      <c r="H51" s="10">
        <v>2360</v>
      </c>
      <c r="I51" s="11">
        <v>0</v>
      </c>
      <c r="J51" s="11">
        <v>1.9</v>
      </c>
      <c r="K51" s="10">
        <v>2206</v>
      </c>
      <c r="L51" s="10">
        <v>2532</v>
      </c>
      <c r="M51" s="13">
        <v>0</v>
      </c>
      <c r="N51" s="13">
        <v>1</v>
      </c>
      <c r="O51" s="1"/>
      <c r="P51" s="1"/>
      <c r="Q51" s="1"/>
    </row>
    <row r="52" spans="1:17" s="6" customFormat="1" ht="27.95" customHeight="1" x14ac:dyDescent="0.25">
      <c r="A52" s="8">
        <v>39</v>
      </c>
      <c r="B52" s="9" t="s">
        <v>13</v>
      </c>
      <c r="C52" s="10">
        <v>4407</v>
      </c>
      <c r="D52" s="10">
        <v>3746</v>
      </c>
      <c r="E52" s="11">
        <v>3.2000000000000001E-2</v>
      </c>
      <c r="F52" s="11">
        <v>63.576999999999998</v>
      </c>
      <c r="G52" s="10">
        <v>3766</v>
      </c>
      <c r="H52" s="10">
        <v>3905</v>
      </c>
      <c r="I52" s="11">
        <v>0.22700000000000001</v>
      </c>
      <c r="J52" s="11">
        <v>65.795000000000002</v>
      </c>
      <c r="K52" s="10">
        <v>6921</v>
      </c>
      <c r="L52" s="10">
        <v>4803</v>
      </c>
      <c r="M52" s="13">
        <v>0.32700000000000001</v>
      </c>
      <c r="N52" s="13">
        <v>85.191000000000003</v>
      </c>
      <c r="O52" s="1"/>
      <c r="P52" s="1"/>
      <c r="Q52" s="1"/>
    </row>
    <row r="53" spans="1:17" s="6" customFormat="1" ht="27.95" customHeight="1" x14ac:dyDescent="0.25">
      <c r="A53" s="8">
        <v>40</v>
      </c>
      <c r="B53" s="9" t="s">
        <v>14</v>
      </c>
      <c r="C53" s="10">
        <v>5866</v>
      </c>
      <c r="D53" s="10">
        <v>5007</v>
      </c>
      <c r="E53" s="11">
        <v>421.36</v>
      </c>
      <c r="F53" s="11">
        <v>175.197</v>
      </c>
      <c r="G53" s="10">
        <v>5425</v>
      </c>
      <c r="H53" s="10">
        <v>4737</v>
      </c>
      <c r="I53" s="11">
        <v>415.23500000000001</v>
      </c>
      <c r="J53" s="11">
        <v>154.959</v>
      </c>
      <c r="K53" s="10">
        <v>5530</v>
      </c>
      <c r="L53" s="10">
        <v>5649</v>
      </c>
      <c r="M53" s="11">
        <v>418.21199999999999</v>
      </c>
      <c r="N53" s="11">
        <v>257.15699999999998</v>
      </c>
      <c r="O53" s="1"/>
      <c r="P53" s="1"/>
      <c r="Q53" s="1"/>
    </row>
    <row r="54" spans="1:17" s="6" customFormat="1" ht="27.95" customHeight="1" x14ac:dyDescent="0.25">
      <c r="A54" s="8">
        <v>41</v>
      </c>
      <c r="B54" s="9" t="s">
        <v>54</v>
      </c>
      <c r="C54" s="10">
        <v>14151</v>
      </c>
      <c r="D54" s="10">
        <v>13806</v>
      </c>
      <c r="E54" s="11">
        <v>25.908000000000001</v>
      </c>
      <c r="F54" s="11">
        <v>191.291</v>
      </c>
      <c r="G54" s="10">
        <v>12670</v>
      </c>
      <c r="H54" s="10">
        <v>11104</v>
      </c>
      <c r="I54" s="11">
        <v>11.464</v>
      </c>
      <c r="J54" s="11">
        <v>174.048</v>
      </c>
      <c r="K54" s="10">
        <v>13335</v>
      </c>
      <c r="L54" s="10">
        <v>12580</v>
      </c>
      <c r="M54" s="11">
        <v>12.412000000000001</v>
      </c>
      <c r="N54" s="11">
        <v>172.74100000000001</v>
      </c>
      <c r="O54" s="1"/>
      <c r="P54" s="1"/>
      <c r="Q54" s="1"/>
    </row>
    <row r="55" spans="1:17" s="6" customFormat="1" ht="27.95" customHeight="1" x14ac:dyDescent="0.25">
      <c r="A55" s="8">
        <v>42</v>
      </c>
      <c r="B55" s="9" t="s">
        <v>15</v>
      </c>
      <c r="C55" s="10">
        <v>7335</v>
      </c>
      <c r="D55" s="10">
        <v>6068</v>
      </c>
      <c r="E55" s="11">
        <v>1.7370000000000001</v>
      </c>
      <c r="F55" s="11">
        <v>84.902000000000001</v>
      </c>
      <c r="G55" s="10">
        <v>7152</v>
      </c>
      <c r="H55" s="10">
        <v>5661</v>
      </c>
      <c r="I55" s="11">
        <v>0.52300000000000002</v>
      </c>
      <c r="J55" s="11">
        <v>87.8</v>
      </c>
      <c r="K55" s="10">
        <v>7911</v>
      </c>
      <c r="L55" s="10">
        <v>6303</v>
      </c>
      <c r="M55" s="11">
        <v>1.607</v>
      </c>
      <c r="N55" s="11">
        <v>66.194999999999993</v>
      </c>
      <c r="O55" s="1"/>
      <c r="P55" s="1"/>
      <c r="Q55" s="1"/>
    </row>
    <row r="56" spans="1:17" s="6" customFormat="1" ht="27.95" customHeight="1" x14ac:dyDescent="0.25">
      <c r="A56" s="8">
        <v>43</v>
      </c>
      <c r="B56" s="9" t="s">
        <v>42</v>
      </c>
      <c r="C56" s="10">
        <v>23078</v>
      </c>
      <c r="D56" s="10">
        <v>22759</v>
      </c>
      <c r="E56" s="11">
        <v>1070.721</v>
      </c>
      <c r="F56" s="11">
        <v>998.327</v>
      </c>
      <c r="G56" s="10">
        <v>24525</v>
      </c>
      <c r="H56" s="10">
        <v>23848</v>
      </c>
      <c r="I56" s="11">
        <v>1090.896</v>
      </c>
      <c r="J56" s="11">
        <v>1374.0749999999998</v>
      </c>
      <c r="K56" s="10">
        <v>25638</v>
      </c>
      <c r="L56" s="10">
        <v>24953</v>
      </c>
      <c r="M56" s="11">
        <v>902.02</v>
      </c>
      <c r="N56" s="11">
        <v>1170.576</v>
      </c>
      <c r="O56" s="1"/>
      <c r="P56" s="1"/>
      <c r="Q56" s="1"/>
    </row>
    <row r="57" spans="1:17" s="6" customFormat="1" ht="27.95" customHeight="1" x14ac:dyDescent="0.25">
      <c r="A57" s="8">
        <v>44</v>
      </c>
      <c r="B57" s="9" t="s">
        <v>16</v>
      </c>
      <c r="C57" s="10">
        <v>2607</v>
      </c>
      <c r="D57" s="10">
        <v>2935</v>
      </c>
      <c r="E57" s="11">
        <v>332.07599999999996</v>
      </c>
      <c r="F57" s="11">
        <v>423.38800000000003</v>
      </c>
      <c r="G57" s="10">
        <v>2812</v>
      </c>
      <c r="H57" s="10">
        <v>2892</v>
      </c>
      <c r="I57" s="11">
        <v>354.017</v>
      </c>
      <c r="J57" s="11">
        <v>390.57100000000003</v>
      </c>
      <c r="K57" s="10">
        <v>3075</v>
      </c>
      <c r="L57" s="10">
        <v>3616</v>
      </c>
      <c r="M57" s="11">
        <v>176.553</v>
      </c>
      <c r="N57" s="11">
        <v>246.12</v>
      </c>
      <c r="O57" s="1"/>
      <c r="P57" s="1"/>
      <c r="Q57" s="1"/>
    </row>
    <row r="58" spans="1:17" s="6" customFormat="1" ht="27.95" customHeight="1" x14ac:dyDescent="0.25">
      <c r="A58" s="8">
        <v>45</v>
      </c>
      <c r="B58" s="9" t="s">
        <v>47</v>
      </c>
      <c r="C58" s="10">
        <v>20919</v>
      </c>
      <c r="D58" s="10">
        <v>18351</v>
      </c>
      <c r="E58" s="11">
        <v>0</v>
      </c>
      <c r="F58" s="11">
        <v>754.56000000000006</v>
      </c>
      <c r="G58" s="10">
        <v>27322</v>
      </c>
      <c r="H58" s="10">
        <v>19682</v>
      </c>
      <c r="I58" s="11">
        <v>0</v>
      </c>
      <c r="J58" s="11">
        <v>760.34400000000005</v>
      </c>
      <c r="K58" s="10">
        <v>29601</v>
      </c>
      <c r="L58" s="10">
        <v>24976</v>
      </c>
      <c r="M58" s="11">
        <v>0</v>
      </c>
      <c r="N58" s="11">
        <v>868.71100000000001</v>
      </c>
      <c r="O58" s="1"/>
      <c r="P58" s="1"/>
      <c r="Q58" s="1"/>
    </row>
    <row r="59" spans="1:17" s="6" customFormat="1" ht="27.95" customHeight="1" x14ac:dyDescent="0.25">
      <c r="A59" s="8">
        <v>46</v>
      </c>
      <c r="B59" s="9" t="s">
        <v>100</v>
      </c>
      <c r="C59" s="10">
        <v>4851</v>
      </c>
      <c r="D59" s="10">
        <v>3253</v>
      </c>
      <c r="E59" s="11">
        <v>78.295000000000002</v>
      </c>
      <c r="F59" s="11">
        <v>33.209000000000003</v>
      </c>
      <c r="G59" s="10">
        <v>5275</v>
      </c>
      <c r="H59" s="10">
        <v>4381</v>
      </c>
      <c r="I59" s="11">
        <v>125.44499999999999</v>
      </c>
      <c r="J59" s="11">
        <v>330.56200000000001</v>
      </c>
      <c r="K59" s="10">
        <v>5690</v>
      </c>
      <c r="L59" s="10">
        <v>5392</v>
      </c>
      <c r="M59" s="11">
        <v>96.11</v>
      </c>
      <c r="N59" s="11">
        <v>363.93200000000002</v>
      </c>
      <c r="O59" s="1"/>
      <c r="P59" s="1"/>
      <c r="Q59" s="1"/>
    </row>
    <row r="60" spans="1:17" s="6" customFormat="1" ht="27.95" customHeight="1" x14ac:dyDescent="0.25">
      <c r="A60" s="8">
        <v>47</v>
      </c>
      <c r="B60" s="9" t="s">
        <v>17</v>
      </c>
      <c r="C60" s="10">
        <v>54423</v>
      </c>
      <c r="D60" s="10">
        <v>47880</v>
      </c>
      <c r="E60" s="11">
        <v>2385.1240000000003</v>
      </c>
      <c r="F60" s="11">
        <v>2526.7469999999998</v>
      </c>
      <c r="G60" s="10">
        <v>56540</v>
      </c>
      <c r="H60" s="10">
        <v>50569</v>
      </c>
      <c r="I60" s="11">
        <v>2399.7190000000001</v>
      </c>
      <c r="J60" s="11">
        <v>2267.652</v>
      </c>
      <c r="K60" s="10">
        <v>51367</v>
      </c>
      <c r="L60" s="10">
        <v>49638</v>
      </c>
      <c r="M60" s="11">
        <v>2468.1819999999998</v>
      </c>
      <c r="N60" s="11">
        <v>1620.7660000000001</v>
      </c>
      <c r="O60" s="1"/>
      <c r="P60" s="1"/>
      <c r="Q60" s="1"/>
    </row>
    <row r="61" spans="1:17" s="6" customFormat="1" ht="27.95" customHeight="1" x14ac:dyDescent="0.25">
      <c r="A61" s="8">
        <v>48</v>
      </c>
      <c r="B61" s="9" t="s">
        <v>18</v>
      </c>
      <c r="C61" s="10">
        <v>986</v>
      </c>
      <c r="D61" s="10">
        <v>1016</v>
      </c>
      <c r="E61" s="11">
        <v>9.6709999999999994</v>
      </c>
      <c r="F61" s="11">
        <v>35.125</v>
      </c>
      <c r="G61" s="10">
        <v>2018</v>
      </c>
      <c r="H61" s="10">
        <v>1432</v>
      </c>
      <c r="I61" s="11">
        <v>10.676500000000001</v>
      </c>
      <c r="J61" s="11">
        <v>67.010449999999992</v>
      </c>
      <c r="K61" s="10">
        <v>1888</v>
      </c>
      <c r="L61" s="10">
        <v>1895</v>
      </c>
      <c r="M61" s="11">
        <v>2.3370000000000002</v>
      </c>
      <c r="N61" s="11">
        <v>68.551899999999989</v>
      </c>
      <c r="O61" s="1"/>
      <c r="P61" s="1"/>
      <c r="Q61" s="1"/>
    </row>
    <row r="62" spans="1:17" s="6" customFormat="1" ht="27.95" customHeight="1" x14ac:dyDescent="0.25">
      <c r="A62" s="8">
        <v>49</v>
      </c>
      <c r="B62" s="9" t="s">
        <v>19</v>
      </c>
      <c r="C62" s="10">
        <v>38926</v>
      </c>
      <c r="D62" s="10">
        <v>40748</v>
      </c>
      <c r="E62" s="11">
        <v>1261.306</v>
      </c>
      <c r="F62" s="11">
        <v>1226.0450000000001</v>
      </c>
      <c r="G62" s="10">
        <v>44356</v>
      </c>
      <c r="H62" s="10">
        <v>41264</v>
      </c>
      <c r="I62" s="11">
        <v>1193.123</v>
      </c>
      <c r="J62" s="11">
        <v>1114.2340000000002</v>
      </c>
      <c r="K62" s="10">
        <v>53525</v>
      </c>
      <c r="L62" s="10">
        <v>50731</v>
      </c>
      <c r="M62" s="11">
        <v>1430.9560000000001</v>
      </c>
      <c r="N62" s="11">
        <v>1259.4000000000001</v>
      </c>
      <c r="O62" s="1"/>
      <c r="P62" s="1"/>
      <c r="Q62" s="1"/>
    </row>
    <row r="63" spans="1:17" s="6" customFormat="1" ht="27.95" customHeight="1" x14ac:dyDescent="0.25">
      <c r="A63" s="8">
        <v>50</v>
      </c>
      <c r="B63" s="9" t="s">
        <v>48</v>
      </c>
      <c r="C63" s="10">
        <v>17695</v>
      </c>
      <c r="D63" s="10">
        <v>15589</v>
      </c>
      <c r="E63" s="11">
        <v>49.417000000000002</v>
      </c>
      <c r="F63" s="11">
        <v>97.747</v>
      </c>
      <c r="G63" s="10">
        <v>19234</v>
      </c>
      <c r="H63" s="10">
        <v>15162</v>
      </c>
      <c r="I63" s="11">
        <v>28.4</v>
      </c>
      <c r="J63" s="11">
        <v>73.47</v>
      </c>
      <c r="K63" s="10">
        <v>21431</v>
      </c>
      <c r="L63" s="10">
        <v>19139</v>
      </c>
      <c r="M63" s="11">
        <v>38.468000000000004</v>
      </c>
      <c r="N63" s="11">
        <v>81.259999999999991</v>
      </c>
      <c r="O63" s="1"/>
      <c r="P63" s="1"/>
      <c r="Q63" s="1"/>
    </row>
    <row r="64" spans="1:17" s="6" customFormat="1" ht="27.95" customHeight="1" x14ac:dyDescent="0.25">
      <c r="A64" s="8">
        <v>51</v>
      </c>
      <c r="B64" s="9" t="s">
        <v>50</v>
      </c>
      <c r="C64" s="10">
        <v>2997</v>
      </c>
      <c r="D64" s="10">
        <v>1879</v>
      </c>
      <c r="E64" s="11">
        <v>9</v>
      </c>
      <c r="F64" s="11">
        <v>17.914999999999999</v>
      </c>
      <c r="G64" s="10">
        <v>1044</v>
      </c>
      <c r="H64" s="10">
        <v>888</v>
      </c>
      <c r="I64" s="11">
        <v>12.000999999999999</v>
      </c>
      <c r="J64" s="11">
        <v>9.5530000000000008</v>
      </c>
      <c r="K64" s="10">
        <v>3294</v>
      </c>
      <c r="L64" s="10">
        <v>3275</v>
      </c>
      <c r="M64" s="11">
        <v>8.42</v>
      </c>
      <c r="N64" s="11">
        <v>11.307</v>
      </c>
      <c r="O64" s="1"/>
      <c r="P64" s="1"/>
      <c r="Q64" s="1"/>
    </row>
    <row r="65" spans="1:17" s="6" customFormat="1" ht="27.95" customHeight="1" x14ac:dyDescent="0.25">
      <c r="A65" s="8">
        <v>52</v>
      </c>
      <c r="B65" s="9" t="s">
        <v>83</v>
      </c>
      <c r="C65" s="10">
        <v>2619</v>
      </c>
      <c r="D65" s="10">
        <v>3285</v>
      </c>
      <c r="E65" s="11">
        <v>0</v>
      </c>
      <c r="F65" s="11">
        <v>0</v>
      </c>
      <c r="G65" s="10">
        <v>3880</v>
      </c>
      <c r="H65" s="10">
        <v>2998</v>
      </c>
      <c r="I65" s="11">
        <v>0</v>
      </c>
      <c r="J65" s="11">
        <v>0</v>
      </c>
      <c r="K65" s="10">
        <v>5095</v>
      </c>
      <c r="L65" s="10">
        <v>4788</v>
      </c>
      <c r="M65" s="11">
        <v>0</v>
      </c>
      <c r="N65" s="11">
        <v>0</v>
      </c>
      <c r="O65" s="1"/>
      <c r="P65" s="1"/>
      <c r="Q65" s="1"/>
    </row>
    <row r="66" spans="1:17" s="6" customFormat="1" ht="27.95" customHeight="1" x14ac:dyDescent="0.25">
      <c r="A66" s="8">
        <v>53</v>
      </c>
      <c r="B66" s="9" t="s">
        <v>51</v>
      </c>
      <c r="C66" s="10">
        <v>9481</v>
      </c>
      <c r="D66" s="10">
        <v>10412</v>
      </c>
      <c r="E66" s="11">
        <v>43.64</v>
      </c>
      <c r="F66" s="11">
        <v>12.888999999999999</v>
      </c>
      <c r="G66" s="10">
        <v>10758</v>
      </c>
      <c r="H66" s="10">
        <v>9505</v>
      </c>
      <c r="I66" s="11">
        <v>52.012999999999998</v>
      </c>
      <c r="J66" s="11">
        <v>11.885</v>
      </c>
      <c r="K66" s="10">
        <v>8875</v>
      </c>
      <c r="L66" s="10">
        <v>7105</v>
      </c>
      <c r="M66" s="11">
        <v>43.015000000000001</v>
      </c>
      <c r="N66" s="11">
        <v>9.2189999999999994</v>
      </c>
      <c r="O66" s="1"/>
      <c r="P66" s="1"/>
      <c r="Q66" s="1"/>
    </row>
    <row r="67" spans="1:17" s="6" customFormat="1" ht="27.95" customHeight="1" x14ac:dyDescent="0.25">
      <c r="A67" s="8">
        <v>54</v>
      </c>
      <c r="B67" s="9" t="s">
        <v>68</v>
      </c>
      <c r="C67" s="10">
        <v>1734</v>
      </c>
      <c r="D67" s="10">
        <v>1963</v>
      </c>
      <c r="E67" s="11">
        <v>0</v>
      </c>
      <c r="F67" s="11">
        <v>0</v>
      </c>
      <c r="G67" s="10">
        <v>1734</v>
      </c>
      <c r="H67" s="10">
        <v>1807</v>
      </c>
      <c r="I67" s="11">
        <v>0</v>
      </c>
      <c r="J67" s="11">
        <v>0</v>
      </c>
      <c r="K67" s="10">
        <v>2050</v>
      </c>
      <c r="L67" s="10">
        <v>2167</v>
      </c>
      <c r="M67" s="11">
        <v>0</v>
      </c>
      <c r="N67" s="11">
        <v>0</v>
      </c>
      <c r="O67" s="1"/>
      <c r="P67" s="1"/>
      <c r="Q67" s="1"/>
    </row>
    <row r="68" spans="1:17" s="6" customFormat="1" ht="27.95" customHeight="1" x14ac:dyDescent="0.25">
      <c r="A68" s="8">
        <v>55</v>
      </c>
      <c r="B68" s="9" t="s">
        <v>20</v>
      </c>
      <c r="C68" s="10">
        <v>51990</v>
      </c>
      <c r="D68" s="10">
        <v>59032</v>
      </c>
      <c r="E68" s="11">
        <v>655.06644000000006</v>
      </c>
      <c r="F68" s="11">
        <v>1443.3685799999998</v>
      </c>
      <c r="G68" s="10">
        <v>67637</v>
      </c>
      <c r="H68" s="10">
        <v>53415</v>
      </c>
      <c r="I68" s="11">
        <v>575.42619999999999</v>
      </c>
      <c r="J68" s="11">
        <v>1347.6977099999999</v>
      </c>
      <c r="K68" s="10">
        <v>75617</v>
      </c>
      <c r="L68" s="10">
        <v>66496</v>
      </c>
      <c r="M68" s="11">
        <v>808.36899999999991</v>
      </c>
      <c r="N68" s="11">
        <v>2630.3854499999998</v>
      </c>
      <c r="O68" s="1"/>
      <c r="P68" s="1"/>
      <c r="Q68" s="1"/>
    </row>
    <row r="69" spans="1:17" s="6" customFormat="1" ht="27.95" customHeight="1" x14ac:dyDescent="0.25">
      <c r="A69" s="8">
        <v>56</v>
      </c>
      <c r="B69" s="9" t="s">
        <v>69</v>
      </c>
      <c r="C69" s="10">
        <v>2670</v>
      </c>
      <c r="D69" s="10">
        <v>2759</v>
      </c>
      <c r="E69" s="11">
        <v>3.6419999999999999</v>
      </c>
      <c r="F69" s="11">
        <v>24.92</v>
      </c>
      <c r="G69" s="10">
        <v>2900</v>
      </c>
      <c r="H69" s="10">
        <v>2753</v>
      </c>
      <c r="I69" s="11">
        <v>3.0830000000000002</v>
      </c>
      <c r="J69" s="11">
        <v>47.809400000000004</v>
      </c>
      <c r="K69" s="10">
        <v>4228</v>
      </c>
      <c r="L69" s="10">
        <v>4054</v>
      </c>
      <c r="M69" s="11">
        <v>5.2270000000000003</v>
      </c>
      <c r="N69" s="11">
        <v>57.673190000000005</v>
      </c>
      <c r="O69" s="1"/>
      <c r="P69" s="1"/>
      <c r="Q69" s="1"/>
    </row>
    <row r="70" spans="1:17" s="6" customFormat="1" ht="27.95" customHeight="1" x14ac:dyDescent="0.25">
      <c r="A70" s="8">
        <v>57</v>
      </c>
      <c r="B70" s="9" t="s">
        <v>21</v>
      </c>
      <c r="C70" s="10">
        <v>91486</v>
      </c>
      <c r="D70" s="10">
        <v>76844</v>
      </c>
      <c r="E70" s="11">
        <v>5744.0320000000002</v>
      </c>
      <c r="F70" s="11">
        <v>8248.3719999999994</v>
      </c>
      <c r="G70" s="10">
        <v>96747</v>
      </c>
      <c r="H70" s="10">
        <v>85485</v>
      </c>
      <c r="I70" s="11">
        <v>5533.2530000000006</v>
      </c>
      <c r="J70" s="11">
        <v>6989.9629999999997</v>
      </c>
      <c r="K70" s="10">
        <v>99532</v>
      </c>
      <c r="L70" s="10">
        <v>94031</v>
      </c>
      <c r="M70" s="11">
        <v>6349.478000000001</v>
      </c>
      <c r="N70" s="11">
        <v>8524.1939999999995</v>
      </c>
      <c r="O70" s="1"/>
      <c r="P70" s="1"/>
      <c r="Q70" s="1"/>
    </row>
    <row r="71" spans="1:17" s="6" customFormat="1" ht="27.95" customHeight="1" x14ac:dyDescent="0.25">
      <c r="A71" s="8">
        <v>58</v>
      </c>
      <c r="B71" s="9" t="s">
        <v>52</v>
      </c>
      <c r="C71" s="10">
        <v>632</v>
      </c>
      <c r="D71" s="10">
        <v>639</v>
      </c>
      <c r="E71" s="11">
        <v>0</v>
      </c>
      <c r="F71" s="11">
        <v>14.388999999999999</v>
      </c>
      <c r="G71" s="10">
        <v>681</v>
      </c>
      <c r="H71" s="10">
        <v>520</v>
      </c>
      <c r="I71" s="11">
        <v>0</v>
      </c>
      <c r="J71" s="11">
        <v>19.552499999999998</v>
      </c>
      <c r="K71" s="10">
        <v>1041</v>
      </c>
      <c r="L71" s="10">
        <v>697</v>
      </c>
      <c r="M71" s="11">
        <v>0</v>
      </c>
      <c r="N71" s="11">
        <v>22.239000000000001</v>
      </c>
      <c r="O71" s="1"/>
      <c r="P71" s="1"/>
      <c r="Q71" s="1"/>
    </row>
    <row r="72" spans="1:17" s="6" customFormat="1" ht="27.95" customHeight="1" x14ac:dyDescent="0.25">
      <c r="A72" s="8">
        <v>59</v>
      </c>
      <c r="B72" s="9" t="s">
        <v>92</v>
      </c>
      <c r="C72" s="10"/>
      <c r="D72" s="10"/>
      <c r="E72" s="11"/>
      <c r="F72" s="11"/>
      <c r="G72" s="10"/>
      <c r="H72" s="10"/>
      <c r="I72" s="11"/>
      <c r="J72" s="11"/>
      <c r="K72" s="10">
        <v>8417</v>
      </c>
      <c r="L72" s="10">
        <v>6942</v>
      </c>
      <c r="M72" s="11">
        <v>0</v>
      </c>
      <c r="N72" s="11">
        <v>0</v>
      </c>
      <c r="O72" s="1"/>
      <c r="P72" s="1"/>
      <c r="Q72" s="1"/>
    </row>
    <row r="73" spans="1:17" s="6" customFormat="1" ht="27.95" customHeight="1" x14ac:dyDescent="0.25">
      <c r="A73" s="8">
        <v>60</v>
      </c>
      <c r="B73" s="9" t="s">
        <v>70</v>
      </c>
      <c r="C73" s="10">
        <v>68612</v>
      </c>
      <c r="D73" s="10">
        <v>62993</v>
      </c>
      <c r="E73" s="11">
        <v>193.15699999999998</v>
      </c>
      <c r="F73" s="11">
        <v>2451.752</v>
      </c>
      <c r="G73" s="10">
        <v>68299</v>
      </c>
      <c r="H73" s="10">
        <v>61586</v>
      </c>
      <c r="I73" s="11">
        <v>184.47</v>
      </c>
      <c r="J73" s="11">
        <v>2084.7960000000003</v>
      </c>
      <c r="K73" s="10">
        <v>69038</v>
      </c>
      <c r="L73" s="10">
        <v>63455</v>
      </c>
      <c r="M73" s="11">
        <v>242.68599999999998</v>
      </c>
      <c r="N73" s="11">
        <v>2142.85</v>
      </c>
      <c r="O73" s="1"/>
      <c r="P73" s="1"/>
      <c r="Q73" s="1"/>
    </row>
    <row r="74" spans="1:17" s="6" customFormat="1" ht="27.95" customHeight="1" x14ac:dyDescent="0.25">
      <c r="A74" s="8">
        <v>61</v>
      </c>
      <c r="B74" s="9" t="s">
        <v>93</v>
      </c>
      <c r="C74" s="10">
        <v>211</v>
      </c>
      <c r="D74" s="10">
        <v>0</v>
      </c>
      <c r="E74" s="11">
        <v>0</v>
      </c>
      <c r="F74" s="11">
        <v>0</v>
      </c>
      <c r="G74" s="10">
        <v>811</v>
      </c>
      <c r="H74" s="10">
        <v>736</v>
      </c>
      <c r="I74" s="11">
        <v>0</v>
      </c>
      <c r="J74" s="11">
        <v>0.34499999999999997</v>
      </c>
      <c r="K74" s="10">
        <v>1831</v>
      </c>
      <c r="L74" s="10">
        <v>1548</v>
      </c>
      <c r="M74" s="11">
        <v>0</v>
      </c>
      <c r="N74" s="11">
        <v>7.3319999999999999</v>
      </c>
      <c r="O74" s="1"/>
      <c r="P74" s="1"/>
      <c r="Q74" s="1"/>
    </row>
    <row r="75" spans="1:17" s="6" customFormat="1" ht="27.95" customHeight="1" x14ac:dyDescent="0.25">
      <c r="A75" s="8">
        <v>62</v>
      </c>
      <c r="B75" s="9" t="s">
        <v>61</v>
      </c>
      <c r="C75" s="10">
        <v>34682</v>
      </c>
      <c r="D75" s="10">
        <v>33233</v>
      </c>
      <c r="E75" s="11">
        <v>25.731999999999999</v>
      </c>
      <c r="F75" s="11">
        <v>137.44300000000001</v>
      </c>
      <c r="G75" s="10">
        <v>36415</v>
      </c>
      <c r="H75" s="10">
        <v>30350</v>
      </c>
      <c r="I75" s="11">
        <v>21.017599999999998</v>
      </c>
      <c r="J75" s="11">
        <v>86.289000000000001</v>
      </c>
      <c r="K75" s="10">
        <v>37873</v>
      </c>
      <c r="L75" s="10">
        <v>35733</v>
      </c>
      <c r="M75" s="11">
        <v>29.526999999999997</v>
      </c>
      <c r="N75" s="11">
        <v>74.318600000000004</v>
      </c>
      <c r="O75" s="1"/>
      <c r="P75" s="1"/>
      <c r="Q75" s="1"/>
    </row>
    <row r="76" spans="1:17" s="6" customFormat="1" ht="27.95" customHeight="1" x14ac:dyDescent="0.25">
      <c r="A76" s="8">
        <v>63</v>
      </c>
      <c r="B76" s="9" t="s">
        <v>62</v>
      </c>
      <c r="C76" s="10">
        <v>100255</v>
      </c>
      <c r="D76" s="10">
        <v>97069</v>
      </c>
      <c r="E76" s="11">
        <v>3359.3589999999999</v>
      </c>
      <c r="F76" s="11">
        <v>2927.3009999999999</v>
      </c>
      <c r="G76" s="10">
        <v>110037</v>
      </c>
      <c r="H76" s="10">
        <v>97957</v>
      </c>
      <c r="I76" s="11">
        <v>2777.7699999999995</v>
      </c>
      <c r="J76" s="11">
        <v>2912.54</v>
      </c>
      <c r="K76" s="10">
        <v>111746</v>
      </c>
      <c r="L76" s="10">
        <v>106904</v>
      </c>
      <c r="M76" s="11">
        <v>3376.7329999999997</v>
      </c>
      <c r="N76" s="11">
        <v>3098.6120000000001</v>
      </c>
      <c r="O76" s="1"/>
      <c r="P76" s="1"/>
      <c r="Q76" s="1"/>
    </row>
    <row r="77" spans="1:17" s="6" customFormat="1" ht="27.95" customHeight="1" x14ac:dyDescent="0.25">
      <c r="A77" s="8">
        <v>64</v>
      </c>
      <c r="B77" s="9" t="s">
        <v>34</v>
      </c>
      <c r="C77" s="10">
        <v>40474</v>
      </c>
      <c r="D77" s="10">
        <v>43439</v>
      </c>
      <c r="E77" s="11">
        <v>422.69200000000001</v>
      </c>
      <c r="F77" s="11">
        <v>853.95</v>
      </c>
      <c r="G77" s="10">
        <v>41324</v>
      </c>
      <c r="H77" s="10">
        <v>40234</v>
      </c>
      <c r="I77" s="11">
        <v>438.23699999999997</v>
      </c>
      <c r="J77" s="11">
        <v>743.01900000000001</v>
      </c>
      <c r="K77" s="10">
        <v>42018</v>
      </c>
      <c r="L77" s="10">
        <v>44471</v>
      </c>
      <c r="M77" s="11">
        <v>424.09200000000004</v>
      </c>
      <c r="N77" s="11">
        <v>709.03200000000004</v>
      </c>
      <c r="O77" s="1"/>
      <c r="P77" s="1"/>
      <c r="Q77" s="1"/>
    </row>
    <row r="78" spans="1:17" s="6" customFormat="1" ht="27.95" customHeight="1" x14ac:dyDescent="0.25">
      <c r="A78" s="8">
        <v>65</v>
      </c>
      <c r="B78" s="9" t="s">
        <v>39</v>
      </c>
      <c r="C78" s="10">
        <v>13891</v>
      </c>
      <c r="D78" s="10">
        <v>13095</v>
      </c>
      <c r="E78" s="11">
        <v>653.79700000000003</v>
      </c>
      <c r="F78" s="11">
        <v>825.29700000000003</v>
      </c>
      <c r="G78" s="10">
        <v>13097</v>
      </c>
      <c r="H78" s="10">
        <v>12583</v>
      </c>
      <c r="I78" s="11">
        <v>433.92100000000005</v>
      </c>
      <c r="J78" s="11">
        <v>659.976</v>
      </c>
      <c r="K78" s="10">
        <v>13813</v>
      </c>
      <c r="L78" s="10">
        <v>13431</v>
      </c>
      <c r="M78" s="11">
        <v>518.45399999999995</v>
      </c>
      <c r="N78" s="11">
        <v>712.47900000000004</v>
      </c>
      <c r="O78" s="1"/>
      <c r="P78" s="1"/>
      <c r="Q78" s="1"/>
    </row>
    <row r="79" spans="1:17" s="6" customFormat="1" ht="27.95" customHeight="1" x14ac:dyDescent="0.25">
      <c r="A79" s="8">
        <v>66</v>
      </c>
      <c r="B79" s="9" t="s">
        <v>73</v>
      </c>
      <c r="C79" s="10">
        <v>25380</v>
      </c>
      <c r="D79" s="10">
        <v>26092</v>
      </c>
      <c r="E79" s="11">
        <v>93.912000000000006</v>
      </c>
      <c r="F79" s="11">
        <v>244.40120000000002</v>
      </c>
      <c r="G79" s="10">
        <v>27992</v>
      </c>
      <c r="H79" s="10">
        <v>26673</v>
      </c>
      <c r="I79" s="11">
        <v>106.15100000000001</v>
      </c>
      <c r="J79" s="11">
        <v>216.43456</v>
      </c>
      <c r="K79" s="10">
        <v>28850</v>
      </c>
      <c r="L79" s="10">
        <v>30020</v>
      </c>
      <c r="M79" s="11">
        <v>121.87299999999999</v>
      </c>
      <c r="N79" s="11">
        <v>202.77279999999999</v>
      </c>
      <c r="O79" s="1"/>
      <c r="P79" s="1"/>
      <c r="Q79" s="1"/>
    </row>
    <row r="80" spans="1:17" s="6" customFormat="1" ht="27.95" customHeight="1" x14ac:dyDescent="0.25">
      <c r="A80" s="8">
        <v>67</v>
      </c>
      <c r="B80" s="9" t="s">
        <v>43</v>
      </c>
      <c r="C80" s="10">
        <v>53269</v>
      </c>
      <c r="D80" s="10">
        <v>49846</v>
      </c>
      <c r="E80" s="11">
        <v>1890.2499999999998</v>
      </c>
      <c r="F80" s="11">
        <v>1749.0830000000001</v>
      </c>
      <c r="G80" s="10">
        <v>57735</v>
      </c>
      <c r="H80" s="10">
        <v>53106</v>
      </c>
      <c r="I80" s="11">
        <v>2011.8630000000001</v>
      </c>
      <c r="J80" s="11">
        <v>1890.596</v>
      </c>
      <c r="K80" s="10">
        <v>72695</v>
      </c>
      <c r="L80" s="10">
        <v>71144</v>
      </c>
      <c r="M80" s="11">
        <v>2327.0140000000001</v>
      </c>
      <c r="N80" s="11">
        <v>2084.9630000000002</v>
      </c>
      <c r="O80" s="1"/>
      <c r="P80" s="1"/>
      <c r="Q80" s="1"/>
    </row>
    <row r="81" spans="1:17" s="6" customFormat="1" ht="27.95" customHeight="1" x14ac:dyDescent="0.25">
      <c r="A81" s="8">
        <v>68</v>
      </c>
      <c r="B81" s="9" t="s">
        <v>74</v>
      </c>
      <c r="C81" s="10">
        <v>2431</v>
      </c>
      <c r="D81" s="10">
        <v>2135</v>
      </c>
      <c r="E81" s="11">
        <v>37.738</v>
      </c>
      <c r="F81" s="11">
        <v>2.4140000000000001</v>
      </c>
      <c r="G81" s="10">
        <v>5965</v>
      </c>
      <c r="H81" s="10">
        <v>5962</v>
      </c>
      <c r="I81" s="11">
        <v>65.443999999999988</v>
      </c>
      <c r="J81" s="11">
        <v>1.01</v>
      </c>
      <c r="K81" s="10">
        <v>6037</v>
      </c>
      <c r="L81" s="10">
        <v>5789</v>
      </c>
      <c r="M81" s="11">
        <v>73.683999999999997</v>
      </c>
      <c r="N81" s="11">
        <v>11.231</v>
      </c>
      <c r="O81" s="1"/>
      <c r="P81" s="1"/>
      <c r="Q81" s="1"/>
    </row>
    <row r="82" spans="1:17" s="6" customFormat="1" ht="27.95" customHeight="1" x14ac:dyDescent="0.25">
      <c r="A82" s="8">
        <v>69</v>
      </c>
      <c r="B82" s="9" t="s">
        <v>71</v>
      </c>
      <c r="C82" s="10">
        <v>2257</v>
      </c>
      <c r="D82" s="10">
        <v>1864</v>
      </c>
      <c r="E82" s="11">
        <v>7.6193</v>
      </c>
      <c r="F82" s="11">
        <v>30.78537</v>
      </c>
      <c r="G82" s="10">
        <v>4052</v>
      </c>
      <c r="H82" s="10">
        <v>2809</v>
      </c>
      <c r="I82" s="11">
        <v>0</v>
      </c>
      <c r="J82" s="11">
        <v>0</v>
      </c>
      <c r="K82" s="10"/>
      <c r="L82" s="10"/>
      <c r="M82" s="11"/>
      <c r="N82" s="11"/>
      <c r="O82" s="1"/>
      <c r="P82" s="1"/>
      <c r="Q82" s="1"/>
    </row>
    <row r="83" spans="1:17" s="6" customFormat="1" ht="27.95" customHeight="1" x14ac:dyDescent="0.25">
      <c r="A83" s="8">
        <v>70</v>
      </c>
      <c r="B83" s="9" t="s">
        <v>22</v>
      </c>
      <c r="C83" s="10">
        <v>23080</v>
      </c>
      <c r="D83" s="10">
        <v>16851</v>
      </c>
      <c r="E83" s="11">
        <v>1573.43451</v>
      </c>
      <c r="F83" s="11">
        <v>1634.55242</v>
      </c>
      <c r="G83" s="10">
        <v>22539</v>
      </c>
      <c r="H83" s="10">
        <v>17090</v>
      </c>
      <c r="I83" s="11">
        <v>1960.521</v>
      </c>
      <c r="J83" s="11">
        <v>3202.13</v>
      </c>
      <c r="K83" s="10">
        <v>23964</v>
      </c>
      <c r="L83" s="10">
        <v>21651</v>
      </c>
      <c r="M83" s="11">
        <v>2447.2869999999998</v>
      </c>
      <c r="N83" s="11">
        <v>3417.0820000000003</v>
      </c>
      <c r="O83" s="1"/>
      <c r="P83" s="1"/>
      <c r="Q83" s="1"/>
    </row>
    <row r="84" spans="1:17" s="6" customFormat="1" ht="27.95" customHeight="1" x14ac:dyDescent="0.25">
      <c r="A84" s="8">
        <v>71</v>
      </c>
      <c r="B84" s="9" t="s">
        <v>23</v>
      </c>
      <c r="C84" s="10">
        <v>8145</v>
      </c>
      <c r="D84" s="10">
        <v>6943</v>
      </c>
      <c r="E84" s="11">
        <v>56.886040000000001</v>
      </c>
      <c r="F84" s="11">
        <v>103.75313</v>
      </c>
      <c r="G84" s="10">
        <v>7167</v>
      </c>
      <c r="H84" s="10">
        <v>6332</v>
      </c>
      <c r="I84" s="11">
        <v>33.29945</v>
      </c>
      <c r="J84" s="11">
        <v>96.421779999999998</v>
      </c>
      <c r="K84" s="10">
        <v>7435</v>
      </c>
      <c r="L84" s="10">
        <v>6356</v>
      </c>
      <c r="M84" s="11">
        <v>38.446660000000001</v>
      </c>
      <c r="N84" s="11">
        <v>59.479900000000001</v>
      </c>
      <c r="O84" s="1"/>
      <c r="P84" s="1"/>
      <c r="Q84" s="1"/>
    </row>
    <row r="85" spans="1:17" s="6" customFormat="1" ht="27.95" customHeight="1" x14ac:dyDescent="0.25">
      <c r="A85" s="8">
        <v>72</v>
      </c>
      <c r="B85" s="9" t="s">
        <v>101</v>
      </c>
      <c r="C85" s="10">
        <v>0</v>
      </c>
      <c r="D85" s="10">
        <v>0</v>
      </c>
      <c r="E85" s="11">
        <v>728.85300000000007</v>
      </c>
      <c r="F85" s="11">
        <v>748.92499999999995</v>
      </c>
      <c r="G85" s="10">
        <v>0</v>
      </c>
      <c r="H85" s="10">
        <v>0</v>
      </c>
      <c r="I85" s="11">
        <v>698.77700000000004</v>
      </c>
      <c r="J85" s="11">
        <v>727.83900000000006</v>
      </c>
      <c r="K85" s="10">
        <v>0</v>
      </c>
      <c r="L85" s="10">
        <v>0</v>
      </c>
      <c r="M85" s="11">
        <v>746.37</v>
      </c>
      <c r="N85" s="11">
        <v>695.46499999999992</v>
      </c>
      <c r="O85" s="1"/>
      <c r="P85" s="1"/>
      <c r="Q85" s="1"/>
    </row>
    <row r="86" spans="1:17" s="6" customFormat="1" ht="27.95" customHeight="1" x14ac:dyDescent="0.25">
      <c r="A86" s="8">
        <v>73</v>
      </c>
      <c r="B86" s="9" t="s">
        <v>63</v>
      </c>
      <c r="C86" s="10">
        <v>5984</v>
      </c>
      <c r="D86" s="10">
        <v>6431</v>
      </c>
      <c r="E86" s="11">
        <v>0</v>
      </c>
      <c r="F86" s="11">
        <v>0.4</v>
      </c>
      <c r="G86" s="10">
        <v>5849</v>
      </c>
      <c r="H86" s="10">
        <v>5940</v>
      </c>
      <c r="I86" s="11">
        <v>0</v>
      </c>
      <c r="J86" s="11">
        <v>0.53700000000000003</v>
      </c>
      <c r="K86" s="10">
        <v>6211</v>
      </c>
      <c r="L86" s="10">
        <v>6548</v>
      </c>
      <c r="M86" s="11">
        <v>0</v>
      </c>
      <c r="N86" s="11">
        <v>0.50900000000000001</v>
      </c>
      <c r="O86" s="1"/>
      <c r="P86" s="1"/>
      <c r="Q86" s="1"/>
    </row>
    <row r="87" spans="1:17" s="6" customFormat="1" ht="27.95" customHeight="1" x14ac:dyDescent="0.25">
      <c r="A87" s="8">
        <v>74</v>
      </c>
      <c r="B87" s="9" t="s">
        <v>94</v>
      </c>
      <c r="C87" s="10">
        <v>3216</v>
      </c>
      <c r="D87" s="10">
        <v>5353</v>
      </c>
      <c r="E87" s="11">
        <v>13.419</v>
      </c>
      <c r="F87" s="11">
        <v>182.684</v>
      </c>
      <c r="G87" s="10">
        <v>3123</v>
      </c>
      <c r="H87" s="10">
        <v>3909</v>
      </c>
      <c r="I87" s="11">
        <v>15.243</v>
      </c>
      <c r="J87" s="11">
        <v>245.001</v>
      </c>
      <c r="K87" s="10">
        <v>4207</v>
      </c>
      <c r="L87" s="10">
        <v>4853</v>
      </c>
      <c r="M87" s="11">
        <v>26.709</v>
      </c>
      <c r="N87" s="11">
        <v>270.02100000000002</v>
      </c>
      <c r="O87" s="1"/>
      <c r="P87" s="1"/>
      <c r="Q87" s="1"/>
    </row>
    <row r="88" spans="1:17" s="6" customFormat="1" ht="27.95" customHeight="1" x14ac:dyDescent="0.25">
      <c r="A88" s="8">
        <v>75</v>
      </c>
      <c r="B88" s="9" t="s">
        <v>75</v>
      </c>
      <c r="C88" s="10">
        <v>16090</v>
      </c>
      <c r="D88" s="10">
        <v>14678</v>
      </c>
      <c r="E88" s="11">
        <v>345.09989999999999</v>
      </c>
      <c r="F88" s="11">
        <v>147.09469999999999</v>
      </c>
      <c r="G88" s="10">
        <v>15871</v>
      </c>
      <c r="H88" s="10">
        <v>14639</v>
      </c>
      <c r="I88" s="11">
        <v>393.16100000000006</v>
      </c>
      <c r="J88" s="11">
        <v>195.47749999999999</v>
      </c>
      <c r="K88" s="10">
        <v>18101</v>
      </c>
      <c r="L88" s="10">
        <v>18005</v>
      </c>
      <c r="M88" s="11">
        <v>488.69849999999997</v>
      </c>
      <c r="N88" s="11">
        <v>301.13640000000004</v>
      </c>
      <c r="O88" s="1"/>
      <c r="P88" s="1"/>
      <c r="Q88" s="1"/>
    </row>
    <row r="89" spans="1:17" s="6" customFormat="1" ht="27.95" customHeight="1" x14ac:dyDescent="0.25">
      <c r="A89" s="8">
        <v>76</v>
      </c>
      <c r="B89" s="9" t="s">
        <v>84</v>
      </c>
      <c r="C89" s="10">
        <v>4934</v>
      </c>
      <c r="D89" s="10">
        <v>4732</v>
      </c>
      <c r="E89" s="11">
        <v>25.518500000000003</v>
      </c>
      <c r="F89" s="11">
        <v>28.217600000000004</v>
      </c>
      <c r="G89" s="10">
        <v>4955</v>
      </c>
      <c r="H89" s="10">
        <v>4413</v>
      </c>
      <c r="I89" s="11">
        <v>28.561500000000002</v>
      </c>
      <c r="J89" s="11">
        <v>18.939900000000002</v>
      </c>
      <c r="K89" s="10">
        <v>5145</v>
      </c>
      <c r="L89" s="10">
        <v>5037</v>
      </c>
      <c r="M89" s="11">
        <v>28.855499999999999</v>
      </c>
      <c r="N89" s="11">
        <v>32.664000000000001</v>
      </c>
      <c r="O89" s="1"/>
      <c r="P89" s="1"/>
      <c r="Q89" s="1"/>
    </row>
    <row r="90" spans="1:17" s="6" customFormat="1" ht="27.95" customHeight="1" x14ac:dyDescent="0.25">
      <c r="A90" s="8">
        <v>77</v>
      </c>
      <c r="B90" s="9" t="s">
        <v>24</v>
      </c>
      <c r="C90" s="10">
        <v>23379</v>
      </c>
      <c r="D90" s="10">
        <v>18682</v>
      </c>
      <c r="E90" s="11">
        <v>1030.241</v>
      </c>
      <c r="F90" s="11">
        <v>1555.8029999999999</v>
      </c>
      <c r="G90" s="10">
        <v>29807</v>
      </c>
      <c r="H90" s="10">
        <v>23031</v>
      </c>
      <c r="I90" s="11">
        <v>458.846</v>
      </c>
      <c r="J90" s="11">
        <v>1441.807</v>
      </c>
      <c r="K90" s="10">
        <v>29959</v>
      </c>
      <c r="L90" s="10">
        <v>24837</v>
      </c>
      <c r="M90" s="11">
        <v>370.87700000000001</v>
      </c>
      <c r="N90" s="11">
        <v>1295.761</v>
      </c>
      <c r="O90" s="1"/>
      <c r="P90" s="1"/>
      <c r="Q90" s="1"/>
    </row>
    <row r="91" spans="1:17" s="6" customFormat="1" ht="27.95" customHeight="1" x14ac:dyDescent="0.25">
      <c r="A91" s="8">
        <v>78</v>
      </c>
      <c r="B91" s="9" t="s">
        <v>25</v>
      </c>
      <c r="C91" s="10">
        <v>465</v>
      </c>
      <c r="D91" s="10">
        <v>864</v>
      </c>
      <c r="E91" s="11">
        <v>0</v>
      </c>
      <c r="F91" s="11">
        <v>10.2921</v>
      </c>
      <c r="G91" s="10">
        <v>615</v>
      </c>
      <c r="H91" s="10">
        <v>832</v>
      </c>
      <c r="I91" s="11">
        <v>0</v>
      </c>
      <c r="J91" s="11">
        <v>12.647399999999999</v>
      </c>
      <c r="K91" s="10">
        <v>826</v>
      </c>
      <c r="L91" s="10">
        <v>842</v>
      </c>
      <c r="M91" s="11">
        <v>0</v>
      </c>
      <c r="N91" s="11">
        <v>11.226100000000001</v>
      </c>
      <c r="O91" s="1"/>
      <c r="P91" s="1"/>
      <c r="Q91" s="1"/>
    </row>
    <row r="92" spans="1:17" ht="27.75" customHeight="1" x14ac:dyDescent="0.25">
      <c r="A92" s="32" t="s">
        <v>26</v>
      </c>
      <c r="B92" s="32"/>
      <c r="C92" s="16">
        <f t="shared" ref="C92:N92" si="1">SUM(C14:C91)</f>
        <v>1558158</v>
      </c>
      <c r="D92" s="16">
        <f t="shared" si="1"/>
        <v>1480654</v>
      </c>
      <c r="E92" s="17">
        <f t="shared" si="1"/>
        <v>45763.743389999996</v>
      </c>
      <c r="F92" s="17">
        <f t="shared" si="1"/>
        <v>66606.801291000025</v>
      </c>
      <c r="G92" s="16">
        <f t="shared" si="1"/>
        <v>1643027</v>
      </c>
      <c r="H92" s="16">
        <f t="shared" si="1"/>
        <v>1445657</v>
      </c>
      <c r="I92" s="17">
        <f t="shared" si="1"/>
        <v>42378.425440000006</v>
      </c>
      <c r="J92" s="17">
        <f t="shared" si="1"/>
        <v>62857.850525000002</v>
      </c>
      <c r="K92" s="16">
        <f t="shared" si="1"/>
        <v>1775889</v>
      </c>
      <c r="L92" s="16">
        <f t="shared" si="1"/>
        <v>1667761</v>
      </c>
      <c r="M92" s="17">
        <f t="shared" si="1"/>
        <v>46171.485860000008</v>
      </c>
      <c r="N92" s="17">
        <f t="shared" si="1"/>
        <v>66318.231359000012</v>
      </c>
    </row>
    <row r="93" spans="1:17" ht="41.25" customHeight="1" x14ac:dyDescent="0.25">
      <c r="A93" s="33" t="s">
        <v>27</v>
      </c>
      <c r="B93" s="33"/>
      <c r="C93" s="18">
        <f t="shared" ref="C93:N93" si="2">C12+C92</f>
        <v>2762766</v>
      </c>
      <c r="D93" s="18">
        <f t="shared" si="2"/>
        <v>2673432</v>
      </c>
      <c r="E93" s="19">
        <f t="shared" si="2"/>
        <v>51319.150909999997</v>
      </c>
      <c r="F93" s="19">
        <f t="shared" si="2"/>
        <v>80390.86919100002</v>
      </c>
      <c r="G93" s="18">
        <f t="shared" si="2"/>
        <v>2956827</v>
      </c>
      <c r="H93" s="18">
        <f t="shared" si="2"/>
        <v>2659764</v>
      </c>
      <c r="I93" s="19">
        <f t="shared" si="2"/>
        <v>47494.570490000006</v>
      </c>
      <c r="J93" s="19">
        <f t="shared" si="2"/>
        <v>76215.051915000004</v>
      </c>
      <c r="K93" s="18">
        <f t="shared" si="2"/>
        <v>3194366</v>
      </c>
      <c r="L93" s="18">
        <f t="shared" si="2"/>
        <v>3030809</v>
      </c>
      <c r="M93" s="19">
        <f t="shared" si="2"/>
        <v>52159.434150000008</v>
      </c>
      <c r="N93" s="19">
        <f t="shared" si="2"/>
        <v>78843.73444900001</v>
      </c>
    </row>
    <row r="94" spans="1:17" s="6" customFormat="1" ht="30.75" customHeight="1" x14ac:dyDescent="0.3">
      <c r="A94" s="26" t="s">
        <v>85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8"/>
    </row>
    <row r="95" spans="1:17" s="6" customFormat="1" ht="21" customHeight="1" x14ac:dyDescent="0.3">
      <c r="A95" s="25" t="s">
        <v>33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</row>
    <row r="96" spans="1:17" ht="18.75" customHeight="1" x14ac:dyDescent="0.25"/>
    <row r="97" ht="18.75" customHeight="1" x14ac:dyDescent="0.25"/>
    <row r="98" ht="18.75" customHeight="1" x14ac:dyDescent="0.25"/>
  </sheetData>
  <mergeCells count="14">
    <mergeCell ref="A95:N95"/>
    <mergeCell ref="A94:N94"/>
    <mergeCell ref="A5:N5"/>
    <mergeCell ref="A12:B12"/>
    <mergeCell ref="A13:N13"/>
    <mergeCell ref="A92:B92"/>
    <mergeCell ref="A93:B93"/>
    <mergeCell ref="A1:N1"/>
    <mergeCell ref="A2:N2"/>
    <mergeCell ref="A3:A4"/>
    <mergeCell ref="B3:B4"/>
    <mergeCell ref="C3:F3"/>
    <mergeCell ref="G3:J3"/>
    <mergeCell ref="K3:N3"/>
  </mergeCells>
  <printOptions horizontalCentered="1"/>
  <pageMargins left="0" right="0" top="3.937007874015748E-2" bottom="3.937007874015748E-2" header="0.31496062992125984" footer="0.31496062992125984"/>
  <pageSetup scale="35" fitToHeight="2" orientation="landscape" r:id="rId1"/>
  <headerFooter>
    <oddFooter>Page &amp;P of &amp;N</oddFooter>
  </headerFooter>
  <rowBreaks count="1" manualBreakCount="1">
    <brk id="56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</vt:lpstr>
      <vt:lpstr>MONTHWISE!Print_Area</vt:lpstr>
      <vt:lpstr>MONTHWISE!Print_Titles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2024-03-05T05:59:03Z</dcterms:modified>
</cp:coreProperties>
</file>