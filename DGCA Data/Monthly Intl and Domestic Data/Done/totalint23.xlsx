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3\Excel December 2023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Monthly_Template!$C$135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Monthly_Template!$A$1:$Q$40</definedName>
    <definedName name="Print_Area_MI" localSheetId="0">Monthly_Template!#REF!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" i="2" l="1"/>
  <c r="K14" i="2"/>
  <c r="H14" i="2"/>
  <c r="O13" i="2" l="1"/>
  <c r="K13" i="2"/>
  <c r="H13" i="2"/>
  <c r="O12" i="2" l="1"/>
  <c r="K12" i="2"/>
  <c r="H12" i="2"/>
  <c r="H11" i="2"/>
  <c r="O11" i="2"/>
  <c r="K11" i="2"/>
  <c r="O10" i="2"/>
  <c r="K10" i="2"/>
  <c r="H10" i="2"/>
  <c r="O8" i="2"/>
  <c r="O5" i="2"/>
  <c r="Q5" i="2"/>
  <c r="K5" i="2"/>
  <c r="H5" i="2"/>
  <c r="O35" i="2"/>
  <c r="Q35" i="2" s="1"/>
  <c r="O34" i="2"/>
  <c r="Q34" i="2" s="1"/>
  <c r="O33" i="2"/>
  <c r="Q33" i="2" s="1"/>
  <c r="O32" i="2"/>
  <c r="Q32" i="2"/>
  <c r="O31" i="2"/>
  <c r="Q31" i="2"/>
  <c r="O30" i="2"/>
  <c r="Q30" i="2"/>
  <c r="O29" i="2"/>
  <c r="Q29" i="2"/>
  <c r="O28" i="2"/>
  <c r="Q28" i="2"/>
  <c r="O27" i="2"/>
  <c r="Q27" i="2"/>
  <c r="O26" i="2"/>
  <c r="Q26" i="2"/>
  <c r="O25" i="2"/>
  <c r="Q25" i="2"/>
  <c r="K35" i="2"/>
  <c r="K34" i="2"/>
  <c r="K33" i="2"/>
  <c r="K32" i="2"/>
  <c r="K31" i="2"/>
  <c r="K30" i="2"/>
  <c r="K29" i="2"/>
  <c r="K28" i="2"/>
  <c r="K27" i="2"/>
  <c r="K26" i="2"/>
  <c r="K25" i="2"/>
  <c r="H35" i="2"/>
  <c r="H34" i="2"/>
  <c r="H33" i="2"/>
  <c r="H32" i="2"/>
  <c r="H31" i="2"/>
  <c r="H30" i="2"/>
  <c r="H29" i="2"/>
  <c r="H28" i="2"/>
  <c r="H27" i="2"/>
  <c r="H26" i="2"/>
  <c r="H25" i="2"/>
  <c r="O4" i="2"/>
  <c r="Q4" i="2"/>
  <c r="K4" i="2"/>
  <c r="H4" i="2"/>
  <c r="Q14" i="2"/>
  <c r="Q13" i="2"/>
  <c r="Q12" i="2"/>
  <c r="K8" i="2"/>
  <c r="Q11" i="2"/>
  <c r="Q10" i="2"/>
  <c r="H9" i="2"/>
  <c r="O9" i="2"/>
  <c r="Q9" i="2"/>
  <c r="K9" i="2"/>
  <c r="Q8" i="2"/>
  <c r="H8" i="2"/>
  <c r="O7" i="2"/>
  <c r="Q7" i="2"/>
  <c r="K7" i="2"/>
  <c r="H7" i="2"/>
  <c r="O6" i="2"/>
  <c r="Q6" i="2"/>
  <c r="K6" i="2"/>
  <c r="H6" i="2"/>
  <c r="H15" i="2"/>
  <c r="K15" i="2"/>
  <c r="O15" i="2"/>
  <c r="Q15" i="2" s="1"/>
  <c r="B16" i="2"/>
  <c r="C16" i="2"/>
  <c r="D16" i="2"/>
  <c r="E16" i="2"/>
  <c r="F16" i="2"/>
  <c r="H16" i="2" s="1"/>
  <c r="G16" i="2"/>
  <c r="I16" i="2"/>
  <c r="K16" i="2" s="1"/>
  <c r="J16" i="2"/>
  <c r="L16" i="2"/>
  <c r="M16" i="2"/>
  <c r="N16" i="2"/>
  <c r="P16" i="2"/>
  <c r="H24" i="2"/>
  <c r="K24" i="2"/>
  <c r="O24" i="2"/>
  <c r="Q24" i="2"/>
  <c r="B36" i="2"/>
  <c r="C36" i="2"/>
  <c r="D36" i="2"/>
  <c r="E36" i="2"/>
  <c r="F36" i="2"/>
  <c r="G36" i="2"/>
  <c r="H36" i="2" s="1"/>
  <c r="I36" i="2"/>
  <c r="K36" i="2" s="1"/>
  <c r="J36" i="2"/>
  <c r="L36" i="2"/>
  <c r="M36" i="2"/>
  <c r="N36" i="2"/>
  <c r="P36" i="2"/>
  <c r="O36" i="2" l="1"/>
  <c r="O16" i="2"/>
  <c r="Q16" i="2" s="1"/>
  <c r="Q36" i="2"/>
</calcChain>
</file>

<file path=xl/sharedStrings.xml><?xml version="1.0" encoding="utf-8"?>
<sst xmlns="http://schemas.openxmlformats.org/spreadsheetml/2006/main" count="75" uniqueCount="40">
  <si>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</si>
  <si>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</si>
  <si>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</si>
  <si>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</si>
  <si>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</si>
  <si>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</si>
  <si>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</si>
  <si>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</si>
  <si>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</si>
  <si>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</si>
  <si>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</si>
  <si>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</si>
  <si>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</si>
  <si>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</si>
  <si>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</si>
  <si>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</si>
  <si>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</si>
  <si>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</si>
  <si>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</si>
  <si>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</si>
  <si>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</si>
  <si>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</si>
  <si>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</si>
  <si>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</si>
  <si>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</si>
  <si>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</si>
  <si>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</si>
  <si>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</si>
  <si>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</si>
  <si>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</si>
  <si>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</si>
  <si>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</si>
  <si>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</si>
  <si>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</si>
  <si>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</si>
  <si>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</si>
  <si>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 xml:space="preserve">SOURCE:-ICAO ATR FORM A FURNISHED BY </t>
  </si>
  <si>
    <t xml:space="preserve">SOURCE:-ICAO ATR FORM A FURNISHED BY   </t>
  </si>
  <si>
    <t>Monthly Traffic And Operating Statistics of Indian Carriers During 2023 (Provisional)
 ( Scheduled International  Services)</t>
  </si>
  <si>
    <t>Monthly Traffic And Operating Statistics of Indian Carriers During 2023 (Provisional)
 (Non- Scheduled International Services)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</si>
</sst>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9" x14ac:knownFonts="1">
    <font>
      <sz val="11"/>
      <color theme="1"/>
      <name val="Calibri"/>
      <family val="2"/>
      <charset val="1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1"/>
      <color theme="1"/>
      <name val="Cambria"/>
      <family val="1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2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4" fillId="2" borderId="0" xfId="1" applyFont="1" applyFill="1"/>
    <xf numFmtId="0" fontId="3" fillId="2" borderId="0" xfId="1" applyFont="1" applyFill="1"/>
    <xf numFmtId="0" fontId="4" fillId="2" borderId="0" xfId="1" applyFont="1" applyFill="1" applyAlignment="1">
      <alignment vertical="center"/>
    </xf>
    <xf numFmtId="0" fontId="7" fillId="4" borderId="3" xfId="1" applyFont="1" applyFill="1" applyBorder="1" applyAlignment="1" applyProtection="1">
      <alignment horizontal="center" vertical="center" textRotation="90" wrapText="1"/>
    </xf>
    <xf numFmtId="0" fontId="7" fillId="4" borderId="3" xfId="1" quotePrefix="1" applyFont="1" applyFill="1" applyBorder="1" applyAlignment="1" applyProtection="1">
      <alignment horizontal="center" vertical="center" textRotation="90" wrapText="1"/>
    </xf>
    <xf numFmtId="0" fontId="7" fillId="4" borderId="2" xfId="1" applyFont="1" applyFill="1" applyBorder="1" applyAlignment="1" applyProtection="1">
      <alignment horizontal="center" vertical="center" textRotation="90" wrapText="1"/>
    </xf>
    <xf numFmtId="3" fontId="6" fillId="3" borderId="0" xfId="1" applyNumberFormat="1" applyFont="1" applyFill="1" applyBorder="1" applyAlignment="1" applyProtection="1">
      <alignment horizontal="center" vertical="center" wrapText="1"/>
    </xf>
    <xf numFmtId="3" fontId="6" fillId="3" borderId="7" xfId="1" applyNumberFormat="1" applyFont="1" applyFill="1" applyBorder="1" applyAlignment="1" applyProtection="1">
      <alignment horizontal="center" vertical="center" wrapText="1"/>
    </xf>
    <xf numFmtId="3" fontId="6" fillId="3" borderId="5" xfId="1" applyNumberFormat="1" applyFont="1" applyFill="1" applyBorder="1" applyAlignment="1" applyProtection="1">
      <alignment horizontal="center" vertical="center" wrapText="1"/>
    </xf>
    <xf numFmtId="3" fontId="6" fillId="3" borderId="6" xfId="1" applyNumberFormat="1" applyFont="1" applyFill="1" applyBorder="1" applyAlignment="1" applyProtection="1">
      <alignment horizontal="center" vertical="center" wrapText="1"/>
    </xf>
    <xf numFmtId="164" fontId="6" fillId="3" borderId="8" xfId="1" applyNumberFormat="1" applyFont="1" applyFill="1" applyBorder="1" applyAlignment="1" applyProtection="1">
      <alignment horizontal="center" vertical="center" wrapText="1"/>
    </xf>
    <xf numFmtId="164" fontId="6" fillId="3" borderId="5" xfId="1" applyNumberFormat="1" applyFont="1" applyFill="1" applyBorder="1" applyAlignment="1" applyProtection="1">
      <alignment horizontal="center" vertical="center" wrapText="1"/>
    </xf>
    <xf numFmtId="164" fontId="6" fillId="3" borderId="7" xfId="1" applyNumberFormat="1" applyFont="1" applyFill="1" applyBorder="1" applyAlignment="1" applyProtection="1">
      <alignment horizontal="center" vertical="center" wrapText="1"/>
    </xf>
    <xf numFmtId="164" fontId="6" fillId="3" borderId="6" xfId="1" applyNumberFormat="1" applyFont="1" applyFill="1" applyBorder="1" applyAlignment="1" applyProtection="1">
      <alignment horizontal="center" vertical="center" wrapText="1"/>
    </xf>
    <xf numFmtId="3" fontId="6" fillId="5" borderId="0" xfId="1" applyNumberFormat="1" applyFont="1" applyFill="1" applyBorder="1" applyAlignment="1" applyProtection="1">
      <alignment horizontal="center" vertical="center" wrapText="1"/>
    </xf>
    <xf numFmtId="3" fontId="6" fillId="5" borderId="9" xfId="1" applyNumberFormat="1" applyFont="1" applyFill="1" applyBorder="1" applyAlignment="1" applyProtection="1">
      <alignment horizontal="center" vertical="center" wrapText="1"/>
    </xf>
    <xf numFmtId="3" fontId="6" fillId="5" borderId="8" xfId="1" applyNumberFormat="1" applyFont="1" applyFill="1" applyBorder="1" applyAlignment="1" applyProtection="1">
      <alignment horizontal="center" vertical="center" wrapText="1"/>
    </xf>
    <xf numFmtId="164" fontId="6" fillId="5" borderId="8" xfId="1" applyNumberFormat="1" applyFont="1" applyFill="1" applyBorder="1" applyAlignment="1" applyProtection="1">
      <alignment horizontal="center" vertical="center" wrapText="1"/>
    </xf>
    <xf numFmtId="164" fontId="6" fillId="5" borderId="0" xfId="1" applyNumberFormat="1" applyFont="1" applyFill="1" applyBorder="1" applyAlignment="1" applyProtection="1">
      <alignment horizontal="center" vertical="center" wrapText="1"/>
    </xf>
    <xf numFmtId="164" fontId="6" fillId="5" borderId="9" xfId="1" applyNumberFormat="1" applyFont="1" applyFill="1" applyBorder="1" applyAlignment="1" applyProtection="1">
      <alignment horizontal="center" vertical="center" wrapText="1"/>
    </xf>
    <xf numFmtId="3" fontId="6" fillId="3" borderId="9" xfId="1" applyNumberFormat="1" applyFont="1" applyFill="1" applyBorder="1" applyAlignment="1" applyProtection="1">
      <alignment horizontal="center" vertical="center" wrapText="1"/>
    </xf>
    <xf numFmtId="3" fontId="6" fillId="3" borderId="8" xfId="1" applyNumberFormat="1" applyFont="1" applyFill="1" applyBorder="1" applyAlignment="1" applyProtection="1">
      <alignment horizontal="center" vertical="center" wrapText="1"/>
    </xf>
    <xf numFmtId="164" fontId="6" fillId="3" borderId="0" xfId="1" applyNumberFormat="1" applyFont="1" applyFill="1" applyBorder="1" applyAlignment="1" applyProtection="1">
      <alignment horizontal="center" vertical="center" wrapText="1"/>
    </xf>
    <xf numFmtId="164" fontId="6" fillId="3" borderId="9" xfId="1" applyNumberFormat="1" applyFont="1" applyFill="1" applyBorder="1" applyAlignment="1" applyProtection="1">
      <alignment horizontal="center" vertical="center" wrapText="1"/>
    </xf>
    <xf numFmtId="3" fontId="6" fillId="5" borderId="12" xfId="1" applyNumberFormat="1" applyFont="1" applyFill="1" applyBorder="1" applyAlignment="1" applyProtection="1">
      <alignment horizontal="center" vertical="center" wrapText="1"/>
    </xf>
    <xf numFmtId="3" fontId="6" fillId="5" borderId="1" xfId="1" applyNumberFormat="1" applyFont="1" applyFill="1" applyBorder="1" applyAlignment="1" applyProtection="1">
      <alignment horizontal="center" vertical="center" wrapText="1"/>
    </xf>
    <xf numFmtId="3" fontId="6" fillId="5" borderId="11" xfId="1" applyNumberFormat="1" applyFont="1" applyFill="1" applyBorder="1" applyAlignment="1" applyProtection="1">
      <alignment horizontal="center" vertical="center" wrapText="1"/>
    </xf>
    <xf numFmtId="164" fontId="6" fillId="5" borderId="1" xfId="1" applyNumberFormat="1" applyFont="1" applyFill="1" applyBorder="1" applyAlignment="1" applyProtection="1">
      <alignment horizontal="center" vertical="center" wrapText="1"/>
    </xf>
    <xf numFmtId="164" fontId="6" fillId="5" borderId="12" xfId="1" applyNumberFormat="1" applyFont="1" applyFill="1" applyBorder="1" applyAlignment="1" applyProtection="1">
      <alignment horizontal="center" vertical="center" wrapText="1"/>
    </xf>
    <xf numFmtId="164" fontId="6" fillId="5" borderId="11" xfId="1" applyNumberFormat="1" applyFont="1" applyFill="1" applyBorder="1" applyAlignment="1" applyProtection="1">
      <alignment horizontal="center" vertical="center" wrapText="1"/>
    </xf>
    <xf numFmtId="0" fontId="7" fillId="4" borderId="10" xfId="1" applyFont="1" applyFill="1" applyBorder="1" applyAlignment="1" applyProtection="1">
      <alignment horizontal="center" vertical="center" wrapText="1"/>
    </xf>
    <xf numFmtId="3" fontId="3" fillId="4" borderId="4" xfId="1" applyNumberFormat="1" applyFont="1" applyFill="1" applyBorder="1" applyAlignment="1" applyProtection="1">
      <alignment horizontal="center" vertical="center" wrapText="1"/>
    </xf>
    <xf numFmtId="164" fontId="3" fillId="4" borderId="3" xfId="1" applyNumberFormat="1" applyFont="1" applyFill="1" applyBorder="1" applyAlignment="1" applyProtection="1">
      <alignment horizontal="center" vertical="center" wrapText="1"/>
    </xf>
    <xf numFmtId="164" fontId="3" fillId="4" borderId="4" xfId="1" applyNumberFormat="1" applyFont="1" applyFill="1" applyBorder="1" applyAlignment="1" applyProtection="1">
      <alignment horizontal="center" vertical="center" wrapText="1"/>
    </xf>
    <xf numFmtId="0" fontId="3" fillId="2" borderId="0" xfId="1" applyFont="1" applyFill="1" applyBorder="1" applyAlignment="1" applyProtection="1">
      <alignment horizontal="center" vertical="center" wrapText="1"/>
    </xf>
    <xf numFmtId="164" fontId="3" fillId="2" borderId="8" xfId="1" applyNumberFormat="1" applyFont="1" applyFill="1" applyBorder="1" applyAlignment="1" applyProtection="1">
      <alignment horizontal="center" vertical="center" wrapText="1"/>
    </xf>
    <xf numFmtId="3" fontId="3" fillId="2" borderId="9" xfId="1" applyNumberFormat="1" applyFont="1" applyFill="1" applyBorder="1" applyAlignment="1" applyProtection="1">
      <alignment horizontal="center" vertical="center" wrapText="1"/>
    </xf>
    <xf numFmtId="3" fontId="3" fillId="2" borderId="0" xfId="1" applyNumberFormat="1" applyFont="1" applyFill="1" applyBorder="1" applyAlignment="1" applyProtection="1">
      <alignment horizontal="center" vertical="center" wrapText="1"/>
    </xf>
    <xf numFmtId="164" fontId="3" fillId="2" borderId="9" xfId="1" applyNumberFormat="1" applyFont="1" applyFill="1" applyBorder="1" applyAlignment="1" applyProtection="1">
      <alignment horizontal="center" vertical="center" wrapText="1"/>
    </xf>
    <xf numFmtId="164" fontId="3" fillId="2" borderId="0" xfId="1" applyNumberFormat="1" applyFont="1" applyFill="1" applyBorder="1" applyAlignment="1" applyProtection="1">
      <alignment horizontal="center" vertical="center" wrapText="1"/>
    </xf>
    <xf numFmtId="3" fontId="3" fillId="2" borderId="8" xfId="1" applyNumberFormat="1" applyFont="1" applyFill="1" applyBorder="1" applyAlignment="1" applyProtection="1">
      <alignment horizontal="center" vertical="center" wrapText="1"/>
    </xf>
    <xf numFmtId="3" fontId="3" fillId="2" borderId="12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3" fillId="2" borderId="11" xfId="1" applyNumberFormat="1" applyFont="1" applyFill="1" applyBorder="1" applyAlignment="1" applyProtection="1">
      <alignment horizontal="center" vertical="center" wrapText="1"/>
    </xf>
    <xf numFmtId="164" fontId="3" fillId="2" borderId="11" xfId="1" applyNumberFormat="1" applyFont="1" applyFill="1" applyBorder="1" applyAlignment="1" applyProtection="1">
      <alignment horizontal="center" vertical="center" wrapText="1"/>
    </xf>
    <xf numFmtId="164" fontId="3" fillId="2" borderId="12" xfId="1" applyNumberFormat="1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center" vertical="center" wrapText="1"/>
    </xf>
    <xf numFmtId="0" fontId="7" fillId="7" borderId="2" xfId="1" applyFont="1" applyFill="1" applyBorder="1" applyAlignment="1" applyProtection="1">
      <alignment horizontal="center" vertical="center" textRotation="90" wrapText="1"/>
    </xf>
    <xf numFmtId="0" fontId="7" fillId="7" borderId="2" xfId="1" quotePrefix="1" applyFont="1" applyFill="1" applyBorder="1" applyAlignment="1" applyProtection="1">
      <alignment horizontal="center" vertical="center" textRotation="90" wrapText="1"/>
    </xf>
    <xf numFmtId="0" fontId="3" fillId="6" borderId="0" xfId="1" applyFont="1" applyFill="1" applyBorder="1" applyAlignment="1" applyProtection="1">
      <alignment horizontal="center" vertical="center" wrapText="1"/>
    </xf>
    <xf numFmtId="3" fontId="3" fillId="6" borderId="7" xfId="1" applyNumberFormat="1" applyFont="1" applyFill="1" applyBorder="1" applyAlignment="1" applyProtection="1">
      <alignment horizontal="center" vertical="center" wrapText="1"/>
    </xf>
    <xf numFmtId="3" fontId="3" fillId="6" borderId="5" xfId="1" applyNumberFormat="1" applyFont="1" applyFill="1" applyBorder="1" applyAlignment="1" applyProtection="1">
      <alignment horizontal="center" vertical="center" wrapText="1"/>
    </xf>
    <xf numFmtId="3" fontId="3" fillId="6" borderId="6" xfId="1" applyNumberFormat="1" applyFont="1" applyFill="1" applyBorder="1" applyAlignment="1" applyProtection="1">
      <alignment horizontal="center" vertical="center" wrapText="1"/>
    </xf>
    <xf numFmtId="164" fontId="3" fillId="6" borderId="6" xfId="1" quotePrefix="1" applyNumberFormat="1" applyFont="1" applyFill="1" applyBorder="1" applyAlignment="1" applyProtection="1">
      <alignment horizontal="center" vertical="center" wrapText="1"/>
    </xf>
    <xf numFmtId="164" fontId="3" fillId="6" borderId="7" xfId="1" applyNumberFormat="1" applyFont="1" applyFill="1" applyBorder="1" applyAlignment="1" applyProtection="1">
      <alignment horizontal="center" vertical="center" wrapText="1"/>
    </xf>
    <xf numFmtId="164" fontId="3" fillId="6" borderId="5" xfId="1" applyNumberFormat="1" applyFont="1" applyFill="1" applyBorder="1" applyAlignment="1" applyProtection="1">
      <alignment horizontal="center" vertical="center" wrapText="1"/>
    </xf>
    <xf numFmtId="164" fontId="3" fillId="6" borderId="6" xfId="1" applyNumberFormat="1" applyFont="1" applyFill="1" applyBorder="1" applyAlignment="1" applyProtection="1">
      <alignment horizontal="center" vertical="center" wrapText="1"/>
    </xf>
    <xf numFmtId="164" fontId="3" fillId="2" borderId="8" xfId="1" quotePrefix="1" applyNumberFormat="1" applyFont="1" applyFill="1" applyBorder="1" applyAlignment="1" applyProtection="1">
      <alignment horizontal="center" vertical="center" wrapText="1"/>
    </xf>
    <xf numFmtId="3" fontId="3" fillId="6" borderId="9" xfId="1" applyNumberFormat="1" applyFont="1" applyFill="1" applyBorder="1" applyAlignment="1" applyProtection="1">
      <alignment horizontal="center" vertical="center" wrapText="1"/>
    </xf>
    <xf numFmtId="3" fontId="3" fillId="6" borderId="0" xfId="1" applyNumberFormat="1" applyFont="1" applyFill="1" applyBorder="1" applyAlignment="1" applyProtection="1">
      <alignment horizontal="center" vertical="center" wrapText="1"/>
    </xf>
    <xf numFmtId="3" fontId="3" fillId="6" borderId="8" xfId="1" applyNumberFormat="1" applyFont="1" applyFill="1" applyBorder="1" applyAlignment="1" applyProtection="1">
      <alignment horizontal="center" vertical="center" wrapText="1"/>
    </xf>
    <xf numFmtId="164" fontId="3" fillId="6" borderId="8" xfId="1" quotePrefix="1" applyNumberFormat="1" applyFont="1" applyFill="1" applyBorder="1" applyAlignment="1" applyProtection="1">
      <alignment horizontal="center" vertical="center" wrapText="1"/>
    </xf>
    <xf numFmtId="164" fontId="3" fillId="6" borderId="9" xfId="1" applyNumberFormat="1" applyFont="1" applyFill="1" applyBorder="1" applyAlignment="1" applyProtection="1">
      <alignment horizontal="center" vertical="center" wrapText="1"/>
    </xf>
    <xf numFmtId="164" fontId="3" fillId="6" borderId="0" xfId="1" applyNumberFormat="1" applyFont="1" applyFill="1" applyBorder="1" applyAlignment="1" applyProtection="1">
      <alignment horizontal="center" vertical="center" wrapText="1"/>
    </xf>
    <xf numFmtId="164" fontId="3" fillId="6" borderId="8" xfId="1" applyNumberFormat="1" applyFont="1" applyFill="1" applyBorder="1" applyAlignment="1" applyProtection="1">
      <alignment horizontal="center" vertical="center" wrapText="1"/>
    </xf>
    <xf numFmtId="0" fontId="7" fillId="7" borderId="10" xfId="1" applyFont="1" applyFill="1" applyBorder="1" applyAlignment="1" applyProtection="1">
      <alignment horizontal="center" vertical="center" wrapText="1"/>
    </xf>
    <xf numFmtId="3" fontId="3" fillId="7" borderId="10" xfId="1" applyNumberFormat="1" applyFont="1" applyFill="1" applyBorder="1" applyAlignment="1" applyProtection="1">
      <alignment horizontal="center" vertical="center" wrapText="1"/>
    </xf>
    <xf numFmtId="164" fontId="3" fillId="7" borderId="10" xfId="1" quotePrefix="1" applyNumberFormat="1" applyFont="1" applyFill="1" applyBorder="1" applyAlignment="1" applyProtection="1">
      <alignment horizontal="center" vertical="center" wrapText="1"/>
    </xf>
    <xf numFmtId="164" fontId="3" fillId="7" borderId="10" xfId="1" applyNumberFormat="1" applyFont="1" applyFill="1" applyBorder="1" applyAlignment="1" applyProtection="1">
      <alignment horizontal="center" vertical="center" wrapText="1"/>
    </xf>
    <xf numFmtId="165" fontId="4" fillId="2" borderId="0" xfId="1" applyNumberFormat="1" applyFont="1" applyFill="1" applyProtection="1"/>
    <xf numFmtId="0" fontId="4" fillId="2" borderId="0" xfId="1" applyFont="1" applyFill="1" applyAlignment="1" applyProtection="1">
      <alignment horizontal="left"/>
    </xf>
    <xf numFmtId="0" fontId="7" fillId="2" borderId="15" xfId="1" applyFont="1" applyFill="1" applyBorder="1" applyAlignment="1">
      <alignment horizontal="left" vertical="center"/>
    </xf>
    <xf numFmtId="0" fontId="7" fillId="2" borderId="13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15" xfId="1" applyFont="1" applyFill="1" applyBorder="1" applyAlignment="1" applyProtection="1">
      <alignment horizontal="left" vertical="center" wrapText="1"/>
    </xf>
    <xf numFmtId="0" fontId="7" fillId="2" borderId="13" xfId="1" applyFont="1" applyFill="1" applyBorder="1" applyAlignment="1" applyProtection="1">
      <alignment horizontal="left" vertical="center" wrapText="1"/>
    </xf>
    <xf numFmtId="0" fontId="7" fillId="2" borderId="14" xfId="1" applyFont="1" applyFill="1" applyBorder="1" applyAlignment="1" applyProtection="1">
      <alignment horizontal="left" vertical="center" wrapText="1"/>
    </xf>
    <xf numFmtId="0" fontId="7" fillId="2" borderId="13" xfId="1" applyFont="1" applyFill="1" applyBorder="1" applyAlignment="1">
      <alignment horizontal="left" vertical="top" wrapText="1"/>
    </xf>
    <xf numFmtId="49" fontId="2" fillId="3" borderId="13" xfId="1" applyNumberFormat="1" applyFont="1" applyFill="1" applyBorder="1" applyAlignment="1" applyProtection="1">
      <alignment horizontal="center" vertical="center" wrapText="1"/>
    </xf>
    <xf numFmtId="164" fontId="5" fillId="3" borderId="13" xfId="1" applyNumberFormat="1" applyFont="1" applyFill="1" applyBorder="1" applyAlignment="1" applyProtection="1">
      <alignment horizontal="center" vertical="center" wrapText="1"/>
    </xf>
    <xf numFmtId="164" fontId="2" fillId="3" borderId="13" xfId="1" applyNumberFormat="1" applyFont="1" applyFill="1" applyBorder="1" applyAlignment="1" applyProtection="1">
      <alignment horizontal="center" vertical="center" wrapText="1"/>
    </xf>
    <xf numFmtId="164" fontId="2" fillId="3" borderId="14" xfId="1" applyNumberFormat="1" applyFont="1" applyFill="1" applyBorder="1" applyAlignment="1" applyProtection="1">
      <alignment horizontal="center" vertical="center" wrapText="1"/>
    </xf>
    <xf numFmtId="0" fontId="7" fillId="4" borderId="2" xfId="1" applyFont="1" applyFill="1" applyBorder="1" applyAlignment="1" applyProtection="1">
      <alignment horizontal="center" vertical="center" wrapText="1"/>
    </xf>
    <xf numFmtId="0" fontId="7" fillId="4" borderId="10" xfId="1" applyFont="1" applyFill="1" applyBorder="1" applyAlignment="1" applyProtection="1">
      <alignment horizontal="center" vertical="center" wrapText="1"/>
    </xf>
    <xf numFmtId="0" fontId="7" fillId="4" borderId="15" xfId="1" applyFont="1" applyFill="1" applyBorder="1" applyAlignment="1" applyProtection="1">
      <alignment horizontal="center" vertical="center" wrapText="1"/>
    </xf>
    <xf numFmtId="0" fontId="7" fillId="4" borderId="13" xfId="1" applyFont="1" applyFill="1" applyBorder="1" applyAlignment="1" applyProtection="1">
      <alignment horizontal="center" vertical="center" wrapText="1"/>
    </xf>
    <xf numFmtId="0" fontId="7" fillId="4" borderId="14" xfId="1" applyFont="1" applyFill="1" applyBorder="1" applyAlignment="1" applyProtection="1">
      <alignment horizontal="center" vertical="center" wrapText="1"/>
    </xf>
    <xf numFmtId="0" fontId="7" fillId="4" borderId="2" xfId="1" applyFont="1" applyFill="1" applyBorder="1" applyAlignment="1" applyProtection="1">
      <alignment horizontal="center" vertical="center" textRotation="90" wrapText="1"/>
    </xf>
    <xf numFmtId="0" fontId="7" fillId="4" borderId="10" xfId="1" applyFont="1" applyFill="1" applyBorder="1" applyAlignment="1" applyProtection="1">
      <alignment horizontal="center" vertical="center" textRotation="90" wrapText="1"/>
    </xf>
    <xf numFmtId="0" fontId="7" fillId="2" borderId="15" xfId="1" applyFont="1" applyFill="1" applyBorder="1" applyAlignment="1">
      <alignment horizontal="left" vertical="top" wrapText="1"/>
    </xf>
    <xf numFmtId="0" fontId="7" fillId="2" borderId="13" xfId="1" applyFont="1" applyFill="1" applyBorder="1" applyAlignment="1">
      <alignment horizontal="left" vertical="top"/>
    </xf>
    <xf numFmtId="0" fontId="7" fillId="2" borderId="14" xfId="1" applyFont="1" applyFill="1" applyBorder="1" applyAlignment="1">
      <alignment horizontal="left" vertical="top"/>
    </xf>
    <xf numFmtId="49" fontId="2" fillId="6" borderId="13" xfId="1" applyNumberFormat="1" applyFont="1" applyFill="1" applyBorder="1" applyAlignment="1" applyProtection="1">
      <alignment horizontal="center" vertical="center" wrapText="1"/>
    </xf>
    <xf numFmtId="3" fontId="8" fillId="6" borderId="13" xfId="1" applyNumberFormat="1" applyFont="1" applyFill="1" applyBorder="1" applyAlignment="1" applyProtection="1">
      <alignment horizontal="center" vertical="center" wrapText="1"/>
    </xf>
    <xf numFmtId="3" fontId="2" fillId="6" borderId="13" xfId="1" applyNumberFormat="1" applyFont="1" applyFill="1" applyBorder="1" applyAlignment="1" applyProtection="1">
      <alignment horizontal="center" vertical="center" wrapText="1"/>
    </xf>
    <xf numFmtId="0" fontId="7" fillId="7" borderId="2" xfId="1" applyFont="1" applyFill="1" applyBorder="1" applyAlignment="1" applyProtection="1">
      <alignment horizontal="center" vertical="center" wrapText="1"/>
    </xf>
    <xf numFmtId="0" fontId="7" fillId="7" borderId="10" xfId="1" applyFont="1" applyFill="1" applyBorder="1" applyAlignment="1" applyProtection="1">
      <alignment horizontal="center" vertical="center" wrapText="1"/>
    </xf>
    <xf numFmtId="0" fontId="7" fillId="7" borderId="15" xfId="1" applyFont="1" applyFill="1" applyBorder="1" applyAlignment="1" applyProtection="1">
      <alignment horizontal="center" vertical="center" wrapText="1"/>
    </xf>
    <xf numFmtId="0" fontId="7" fillId="7" borderId="13" xfId="1" applyFont="1" applyFill="1" applyBorder="1" applyAlignment="1" applyProtection="1">
      <alignment horizontal="center" vertical="center" wrapText="1"/>
    </xf>
    <xf numFmtId="0" fontId="7" fillId="7" borderId="14" xfId="1" applyFont="1" applyFill="1" applyBorder="1" applyAlignment="1" applyProtection="1">
      <alignment horizontal="center" vertical="center" wrapText="1"/>
    </xf>
    <xf numFmtId="0" fontId="7" fillId="7" borderId="2" xfId="1" applyFont="1" applyFill="1" applyBorder="1" applyAlignment="1" applyProtection="1">
      <alignment horizontal="center" vertical="center" textRotation="90" wrapText="1"/>
    </xf>
    <xf numFmtId="0" fontId="7" fillId="7" borderId="10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i/Desktop/Nitin%20DGCA/Form%20A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7" transitionEvaluation="1" transitionEntry="1" codeName="Sheet12"/>
  <dimension ref="A1:Q457"/>
  <sheetViews>
    <sheetView showGridLines="0" tabSelected="1" view="pageBreakPreview" topLeftCell="A7" zoomScale="85" zoomScaleNormal="85" zoomScaleSheetLayoutView="85" workbookViewId="0">
      <selection activeCell="B13" sqref="B13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3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4.855468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79">
        <v>2023</v>
      </c>
      <c r="B1" s="79"/>
      <c r="C1" s="80" t="s">
        <v>38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1"/>
      <c r="P1" s="81"/>
      <c r="Q1" s="82"/>
    </row>
    <row r="2" spans="1:17" ht="33" customHeight="1" x14ac:dyDescent="0.3">
      <c r="A2" s="83" t="s">
        <v>0</v>
      </c>
      <c r="B2" s="85" t="s">
        <v>1</v>
      </c>
      <c r="C2" s="86"/>
      <c r="D2" s="87"/>
      <c r="E2" s="88" t="s">
        <v>2</v>
      </c>
      <c r="F2" s="88" t="s">
        <v>3</v>
      </c>
      <c r="G2" s="88" t="s">
        <v>4</v>
      </c>
      <c r="H2" s="88" t="s">
        <v>5</v>
      </c>
      <c r="I2" s="85" t="s">
        <v>6</v>
      </c>
      <c r="J2" s="86"/>
      <c r="K2" s="87"/>
      <c r="L2" s="85" t="s">
        <v>7</v>
      </c>
      <c r="M2" s="86"/>
      <c r="N2" s="86"/>
      <c r="O2" s="87"/>
      <c r="P2" s="88" t="s">
        <v>8</v>
      </c>
      <c r="Q2" s="88" t="s">
        <v>9</v>
      </c>
    </row>
    <row r="3" spans="1:17" ht="155.25" customHeight="1" x14ac:dyDescent="0.3">
      <c r="A3" s="84"/>
      <c r="B3" s="4" t="s">
        <v>10</v>
      </c>
      <c r="C3" s="4" t="s">
        <v>11</v>
      </c>
      <c r="D3" s="4" t="s">
        <v>12</v>
      </c>
      <c r="E3" s="89"/>
      <c r="F3" s="89"/>
      <c r="G3" s="89"/>
      <c r="H3" s="89"/>
      <c r="I3" s="4" t="s">
        <v>13</v>
      </c>
      <c r="J3" s="5" t="s">
        <v>14</v>
      </c>
      <c r="K3" s="4" t="s">
        <v>15</v>
      </c>
      <c r="L3" s="6" t="s">
        <v>16</v>
      </c>
      <c r="M3" s="6" t="s">
        <v>17</v>
      </c>
      <c r="N3" s="6" t="s">
        <v>18</v>
      </c>
      <c r="O3" s="6" t="s">
        <v>19</v>
      </c>
      <c r="P3" s="89"/>
      <c r="Q3" s="89"/>
    </row>
    <row r="4" spans="1:17" ht="23.1" customHeight="1" x14ac:dyDescent="0.3">
      <c r="A4" s="7" t="s">
        <v>20</v>
      </c>
      <c r="B4" s="8">
        <v>14066</v>
      </c>
      <c r="C4" s="9">
        <v>63768.848499999993</v>
      </c>
      <c r="D4" s="10">
        <v>44014.603000000003</v>
      </c>
      <c r="E4" s="8">
        <v>2314453</v>
      </c>
      <c r="F4" s="9">
        <v>8038065.3780000005</v>
      </c>
      <c r="G4" s="9">
        <v>9477764.9629999995</v>
      </c>
      <c r="H4" s="11">
        <f t="shared" ref="H4:H14" si="0">IFERROR(F4/G4*100," ")</f>
        <v>84.80971420350258</v>
      </c>
      <c r="I4" s="12">
        <v>14712.807519999997</v>
      </c>
      <c r="J4" s="12">
        <v>449.84009136934992</v>
      </c>
      <c r="K4" s="12">
        <f t="shared" ref="K4:K14" si="1">IF(AND(ISBLANK(I4),ISBLANK(J4))=TRUE,"",I4+J4)</f>
        <v>15162.647611369346</v>
      </c>
      <c r="L4" s="13">
        <v>780267.98546200001</v>
      </c>
      <c r="M4" s="12">
        <v>70282.455463416234</v>
      </c>
      <c r="N4" s="12">
        <v>144.65817679999995</v>
      </c>
      <c r="O4" s="14">
        <f t="shared" ref="O4:O14" si="2">IF(AND(ISBLANK(L4),ISBLANK(M4),ISBLANK(N4))=TRUE,"",L4+M4+N4)</f>
        <v>850695.09910221631</v>
      </c>
      <c r="P4" s="13">
        <v>1189785.5382739999</v>
      </c>
      <c r="Q4" s="14">
        <f t="shared" ref="Q4:Q14" si="3">IFERROR(O4/P4*100," ")</f>
        <v>71.499868819745799</v>
      </c>
    </row>
    <row r="5" spans="1:17" ht="23.1" customHeight="1" x14ac:dyDescent="0.3">
      <c r="A5" s="15" t="s">
        <v>21</v>
      </c>
      <c r="B5" s="16">
        <v>12743</v>
      </c>
      <c r="C5" s="15">
        <v>56906.968933333359</v>
      </c>
      <c r="D5" s="17">
        <v>40122.891000000003</v>
      </c>
      <c r="E5" s="16">
        <v>2132905</v>
      </c>
      <c r="F5" s="15">
        <v>7436504.3220000006</v>
      </c>
      <c r="G5" s="15">
        <v>8719869.318</v>
      </c>
      <c r="H5" s="18">
        <f t="shared" ref="H5" si="4">IFERROR(F5/G5*100," ")</f>
        <v>85.282290947287336</v>
      </c>
      <c r="I5" s="19">
        <v>15781.85822</v>
      </c>
      <c r="J5" s="19">
        <v>450.62793689404003</v>
      </c>
      <c r="K5" s="19">
        <f t="shared" ref="K5" si="5">IF(AND(ISBLANK(I5),ISBLANK(J5))=TRUE,"",I5+J5)</f>
        <v>16232.48615689404</v>
      </c>
      <c r="L5" s="20">
        <v>718893.73082399904</v>
      </c>
      <c r="M5" s="19">
        <v>76124.415703116261</v>
      </c>
      <c r="N5" s="19">
        <v>3484.3447609337104</v>
      </c>
      <c r="O5" s="18">
        <f t="shared" ref="O5" si="6">IF(AND(ISBLANK(L5),ISBLANK(M5),ISBLANK(N5))=TRUE,"",L5+M5+N5)</f>
        <v>798502.49128804891</v>
      </c>
      <c r="P5" s="20">
        <v>1077670.14427</v>
      </c>
      <c r="Q5" s="18">
        <f t="shared" ref="Q5" si="7">IFERROR(O5/P5*100," ")</f>
        <v>74.095259624079517</v>
      </c>
    </row>
    <row r="6" spans="1:17" ht="23.1" customHeight="1" x14ac:dyDescent="0.3">
      <c r="A6" s="7" t="s">
        <v>22</v>
      </c>
      <c r="B6" s="21">
        <v>14354</v>
      </c>
      <c r="C6" s="7">
        <v>64764.386666666658</v>
      </c>
      <c r="D6" s="22">
        <v>44799.017000000007</v>
      </c>
      <c r="E6" s="21">
        <v>2331138</v>
      </c>
      <c r="F6" s="7">
        <v>8003300.5140000004</v>
      </c>
      <c r="G6" s="7">
        <v>9757210.2719999999</v>
      </c>
      <c r="H6" s="11">
        <f t="shared" si="0"/>
        <v>82.024475140879701</v>
      </c>
      <c r="I6" s="23">
        <v>17888.419419999995</v>
      </c>
      <c r="J6" s="23">
        <v>481.87607701616599</v>
      </c>
      <c r="K6" s="23">
        <f t="shared" si="1"/>
        <v>18370.295497016159</v>
      </c>
      <c r="L6" s="24">
        <v>785171.63416500005</v>
      </c>
      <c r="M6" s="23">
        <v>89820.969591423258</v>
      </c>
      <c r="N6" s="23">
        <v>3512.593303212102</v>
      </c>
      <c r="O6" s="11">
        <f t="shared" si="2"/>
        <v>878505.19705963542</v>
      </c>
      <c r="P6" s="24">
        <v>1237109.897957</v>
      </c>
      <c r="Q6" s="11">
        <f t="shared" si="3"/>
        <v>71.012704571390543</v>
      </c>
    </row>
    <row r="7" spans="1:17" ht="23.1" customHeight="1" x14ac:dyDescent="0.3">
      <c r="A7" s="15" t="s">
        <v>23</v>
      </c>
      <c r="B7" s="16">
        <v>14095</v>
      </c>
      <c r="C7" s="15">
        <v>63228.800000000003</v>
      </c>
      <c r="D7" s="17">
        <v>44509.030030000002</v>
      </c>
      <c r="E7" s="16">
        <v>2184188</v>
      </c>
      <c r="F7" s="15">
        <v>7247807.0551999994</v>
      </c>
      <c r="G7" s="15">
        <v>9143553.7850000001</v>
      </c>
      <c r="H7" s="18">
        <f t="shared" si="0"/>
        <v>79.266849910042922</v>
      </c>
      <c r="I7" s="19">
        <v>15683.754349999999</v>
      </c>
      <c r="J7" s="19">
        <v>477.84648036857806</v>
      </c>
      <c r="K7" s="19">
        <f t="shared" si="1"/>
        <v>16161.600830368578</v>
      </c>
      <c r="L7" s="20">
        <v>727283.99422100023</v>
      </c>
      <c r="M7" s="19">
        <v>76175.481158498515</v>
      </c>
      <c r="N7" s="19">
        <v>3746.6870711495908</v>
      </c>
      <c r="O7" s="18">
        <f t="shared" si="2"/>
        <v>807206.16245064838</v>
      </c>
      <c r="P7" s="20">
        <v>1162263.2595899999</v>
      </c>
      <c r="Q7" s="18">
        <f t="shared" si="3"/>
        <v>69.451232824428985</v>
      </c>
    </row>
    <row r="8" spans="1:17" s="2" customFormat="1" ht="30" customHeight="1" x14ac:dyDescent="0.25">
      <c r="A8" s="7" t="s">
        <v>24</v>
      </c>
      <c r="B8" s="21">
        <v>13951</v>
      </c>
      <c r="C8" s="7">
        <v>62533.729999999974</v>
      </c>
      <c r="D8" s="22">
        <v>44310.102400000003</v>
      </c>
      <c r="E8" s="21">
        <v>2357016</v>
      </c>
      <c r="F8" s="7">
        <v>8179368.6560000004</v>
      </c>
      <c r="G8" s="7">
        <v>9697876.2530000005</v>
      </c>
      <c r="H8" s="11">
        <f t="shared" si="0"/>
        <v>84.341854263914158</v>
      </c>
      <c r="I8" s="23">
        <v>16034.756060000018</v>
      </c>
      <c r="J8" s="23">
        <v>490.30849999999998</v>
      </c>
      <c r="K8" s="23">
        <f t="shared" si="1"/>
        <v>16525.064560000017</v>
      </c>
      <c r="L8" s="24">
        <v>794422.228045</v>
      </c>
      <c r="M8" s="23">
        <v>71065.18858515218</v>
      </c>
      <c r="N8" s="23">
        <v>3800.5873564000044</v>
      </c>
      <c r="O8" s="11">
        <f t="shared" si="2"/>
        <v>869288.00398655212</v>
      </c>
      <c r="P8" s="24">
        <v>1202418.4745230007</v>
      </c>
      <c r="Q8" s="11">
        <f t="shared" si="3"/>
        <v>72.294964058282503</v>
      </c>
    </row>
    <row r="9" spans="1:17" ht="23.1" customHeight="1" x14ac:dyDescent="0.3">
      <c r="A9" s="15" t="s">
        <v>25</v>
      </c>
      <c r="B9" s="16">
        <v>13546</v>
      </c>
      <c r="C9" s="15">
        <v>61366.831899999997</v>
      </c>
      <c r="D9" s="17">
        <v>43725.01208</v>
      </c>
      <c r="E9" s="16">
        <v>2313021</v>
      </c>
      <c r="F9" s="15">
        <v>8309892.2060000002</v>
      </c>
      <c r="G9" s="15">
        <v>9687421.2709999997</v>
      </c>
      <c r="H9" s="18">
        <f t="shared" si="0"/>
        <v>85.780229573336158</v>
      </c>
      <c r="I9" s="19">
        <v>16679.665140000001</v>
      </c>
      <c r="J9" s="19">
        <v>468.70771105138988</v>
      </c>
      <c r="K9" s="19">
        <f t="shared" si="1"/>
        <v>17148.37285105139</v>
      </c>
      <c r="L9" s="20">
        <v>813401.87808599987</v>
      </c>
      <c r="M9" s="19">
        <v>73000.311142202205</v>
      </c>
      <c r="N9" s="19">
        <v>607.89868578717198</v>
      </c>
      <c r="O9" s="18">
        <f t="shared" si="2"/>
        <v>887010.08791398932</v>
      </c>
      <c r="P9" s="20">
        <v>1200696.3323320001</v>
      </c>
      <c r="Q9" s="18">
        <f t="shared" si="3"/>
        <v>73.874639576122675</v>
      </c>
    </row>
    <row r="10" spans="1:17" ht="23.1" customHeight="1" x14ac:dyDescent="0.3">
      <c r="A10" s="7" t="s">
        <v>26</v>
      </c>
      <c r="B10" s="21">
        <v>14228</v>
      </c>
      <c r="C10" s="7">
        <v>64701.571266666724</v>
      </c>
      <c r="D10" s="22">
        <v>45948.681429999997</v>
      </c>
      <c r="E10" s="21">
        <v>2400520</v>
      </c>
      <c r="F10" s="7">
        <v>8605061.2080000006</v>
      </c>
      <c r="G10" s="7">
        <v>10217382.194</v>
      </c>
      <c r="H10" s="11">
        <f t="shared" si="0"/>
        <v>84.219823087886354</v>
      </c>
      <c r="I10" s="23">
        <v>15631.918610000001</v>
      </c>
      <c r="J10" s="23">
        <v>467.07609283606303</v>
      </c>
      <c r="K10" s="23">
        <f t="shared" si="1"/>
        <v>16098.994702836064</v>
      </c>
      <c r="L10" s="24">
        <v>839735.23862700001</v>
      </c>
      <c r="M10" s="23">
        <v>69832.579983942196</v>
      </c>
      <c r="N10" s="23">
        <v>3487.7022519779666</v>
      </c>
      <c r="O10" s="11">
        <f t="shared" si="2"/>
        <v>913055.52086292021</v>
      </c>
      <c r="P10" s="24">
        <v>1260783.276392</v>
      </c>
      <c r="Q10" s="11">
        <f t="shared" si="3"/>
        <v>72.419704318717109</v>
      </c>
    </row>
    <row r="11" spans="1:17" ht="23.1" customHeight="1" x14ac:dyDescent="0.3">
      <c r="A11" s="15" t="s">
        <v>27</v>
      </c>
      <c r="B11" s="16">
        <v>14791</v>
      </c>
      <c r="C11" s="15">
        <v>66984.839999999982</v>
      </c>
      <c r="D11" s="17">
        <v>47752.914380000002</v>
      </c>
      <c r="E11" s="16">
        <v>2403998</v>
      </c>
      <c r="F11" s="15">
        <v>8662741.811999999</v>
      </c>
      <c r="G11" s="15">
        <v>10523494.005000001</v>
      </c>
      <c r="H11" s="19">
        <f t="shared" si="0"/>
        <v>82.318114191770263</v>
      </c>
      <c r="I11" s="20">
        <v>17275.294129999995</v>
      </c>
      <c r="J11" s="19">
        <v>415.21748803220015</v>
      </c>
      <c r="K11" s="19">
        <f t="shared" si="1"/>
        <v>17690.511618032197</v>
      </c>
      <c r="L11" s="20">
        <v>846452.74689100008</v>
      </c>
      <c r="M11" s="19">
        <v>79943.701674016309</v>
      </c>
      <c r="N11" s="19">
        <v>3409.7313530192841</v>
      </c>
      <c r="O11" s="19">
        <f t="shared" si="2"/>
        <v>929806.17991803563</v>
      </c>
      <c r="P11" s="20">
        <v>1292320.7826359994</v>
      </c>
      <c r="Q11" s="18">
        <f t="shared" si="3"/>
        <v>71.948558934529558</v>
      </c>
    </row>
    <row r="12" spans="1:17" ht="23.1" customHeight="1" x14ac:dyDescent="0.3">
      <c r="A12" s="7" t="s">
        <v>28</v>
      </c>
      <c r="B12" s="21">
        <v>14333</v>
      </c>
      <c r="C12" s="7">
        <v>64942.496666666615</v>
      </c>
      <c r="D12" s="22">
        <v>45993.438000000002</v>
      </c>
      <c r="E12" s="21">
        <v>2269965</v>
      </c>
      <c r="F12" s="7">
        <v>8168508.7180000003</v>
      </c>
      <c r="G12" s="7">
        <v>10134509.868000001</v>
      </c>
      <c r="H12" s="23">
        <f t="shared" si="0"/>
        <v>80.600925199079398</v>
      </c>
      <c r="I12" s="23">
        <v>17650.82507000001</v>
      </c>
      <c r="J12" s="23">
        <v>354.94713368978665</v>
      </c>
      <c r="K12" s="23">
        <f t="shared" si="1"/>
        <v>18005.772203689798</v>
      </c>
      <c r="L12" s="24">
        <v>798736.04231699917</v>
      </c>
      <c r="M12" s="23">
        <v>85254.005951186322</v>
      </c>
      <c r="N12" s="23">
        <v>2869.7851247706026</v>
      </c>
      <c r="O12" s="11">
        <f t="shared" si="2"/>
        <v>886859.83339295606</v>
      </c>
      <c r="P12" s="24">
        <v>1234157.3543499997</v>
      </c>
      <c r="Q12" s="11">
        <f t="shared" si="3"/>
        <v>71.859542891112397</v>
      </c>
    </row>
    <row r="13" spans="1:17" ht="23.1" customHeight="1" x14ac:dyDescent="0.3">
      <c r="A13" s="15" t="s">
        <v>29</v>
      </c>
      <c r="B13" s="16">
        <v>14846</v>
      </c>
      <c r="C13" s="15">
        <v>67343.040000000008</v>
      </c>
      <c r="D13" s="17">
        <v>47517.658230000001</v>
      </c>
      <c r="E13" s="16">
        <v>2397386</v>
      </c>
      <c r="F13" s="15">
        <v>8518598.2960000001</v>
      </c>
      <c r="G13" s="15">
        <v>10490995.493999999</v>
      </c>
      <c r="H13" s="18">
        <f t="shared" si="0"/>
        <v>81.199141691290876</v>
      </c>
      <c r="I13" s="19">
        <v>19340.905420000006</v>
      </c>
      <c r="J13" s="19">
        <v>337.08072063680663</v>
      </c>
      <c r="K13" s="19">
        <f t="shared" si="1"/>
        <v>19677.986140636815</v>
      </c>
      <c r="L13" s="20">
        <v>828746.4117490002</v>
      </c>
      <c r="M13" s="19">
        <v>96900.947576222214</v>
      </c>
      <c r="N13" s="19">
        <v>2996.5556499847908</v>
      </c>
      <c r="O13" s="18">
        <f t="shared" si="2"/>
        <v>928643.91497520718</v>
      </c>
      <c r="P13" s="20">
        <v>1282979.0927519994</v>
      </c>
      <c r="Q13" s="18">
        <f t="shared" si="3"/>
        <v>72.38184318212538</v>
      </c>
    </row>
    <row r="14" spans="1:17" ht="23.1" customHeight="1" x14ac:dyDescent="0.3">
      <c r="A14" s="7" t="s">
        <v>30</v>
      </c>
      <c r="B14" s="21">
        <v>15149</v>
      </c>
      <c r="C14" s="7">
        <v>68619.289999999964</v>
      </c>
      <c r="D14" s="22">
        <v>48137.756770000007</v>
      </c>
      <c r="E14" s="21">
        <v>2527907</v>
      </c>
      <c r="F14" s="7">
        <v>8868087.7639999986</v>
      </c>
      <c r="G14" s="7">
        <v>10598377.978</v>
      </c>
      <c r="H14" s="11">
        <f t="shared" si="0"/>
        <v>83.674009196579718</v>
      </c>
      <c r="I14" s="23">
        <v>18473.346440000023</v>
      </c>
      <c r="J14" s="23">
        <v>355.71686632661527</v>
      </c>
      <c r="K14" s="23">
        <f t="shared" si="1"/>
        <v>18829.06330632664</v>
      </c>
      <c r="L14" s="24">
        <v>856739.91665300028</v>
      </c>
      <c r="M14" s="23">
        <v>92561.775857438843</v>
      </c>
      <c r="N14" s="23">
        <v>3102.3156578158309</v>
      </c>
      <c r="O14" s="11">
        <f t="shared" si="2"/>
        <v>952404.00816825486</v>
      </c>
      <c r="P14" s="24">
        <v>1290737.575834</v>
      </c>
      <c r="Q14" s="11">
        <f t="shared" si="3"/>
        <v>73.787578978078983</v>
      </c>
    </row>
    <row r="15" spans="1:17" ht="23.1" customHeight="1" x14ac:dyDescent="0.3">
      <c r="A15" s="15" t="s">
        <v>31</v>
      </c>
      <c r="B15" s="25">
        <v>16092</v>
      </c>
      <c r="C15" s="26">
        <v>73489.416666666657</v>
      </c>
      <c r="D15" s="27">
        <v>51833.641340000002</v>
      </c>
      <c r="E15" s="25">
        <v>2781525</v>
      </c>
      <c r="F15" s="26">
        <v>9937019.8929999992</v>
      </c>
      <c r="G15" s="26">
        <v>11381224.835000001</v>
      </c>
      <c r="H15" s="18">
        <f t="shared" ref="H15:H16" si="8">IFERROR(F15/G15*100," ")</f>
        <v>87.310636922322061</v>
      </c>
      <c r="I15" s="28">
        <v>18516.051379999997</v>
      </c>
      <c r="J15" s="28">
        <v>326.330070522276</v>
      </c>
      <c r="K15" s="28">
        <f t="shared" ref="K15:K16" si="9">IF(AND(ISBLANK(I15),ISBLANK(J15))=TRUE,"",I15+J15)</f>
        <v>18842.381450522273</v>
      </c>
      <c r="L15" s="29">
        <v>917530.33182700037</v>
      </c>
      <c r="M15" s="28">
        <v>90230.080261518888</v>
      </c>
      <c r="N15" s="28">
        <v>2672.7991887957924</v>
      </c>
      <c r="O15" s="30">
        <f t="shared" ref="O15:O16" si="10">IF(AND(ISBLANK(L15),ISBLANK(M15),ISBLANK(N15))=TRUE,"",L15+M15+N15)</f>
        <v>1010433.211277315</v>
      </c>
      <c r="P15" s="29">
        <v>1292534.2684459998</v>
      </c>
      <c r="Q15" s="30">
        <f t="shared" ref="Q15:Q16" si="11">IFERROR(O15/P15*100," ")</f>
        <v>78.174578109418178</v>
      </c>
    </row>
    <row r="16" spans="1:17" ht="23.1" customHeight="1" x14ac:dyDescent="0.3">
      <c r="A16" s="31" t="s">
        <v>32</v>
      </c>
      <c r="B16" s="32">
        <f t="shared" ref="B16:G16" si="12">SUM(B4:B15)</f>
        <v>172194</v>
      </c>
      <c r="C16" s="32">
        <f t="shared" si="12"/>
        <v>778650.22059999988</v>
      </c>
      <c r="D16" s="32">
        <f t="shared" si="12"/>
        <v>548664.74566000002</v>
      </c>
      <c r="E16" s="32">
        <f t="shared" si="12"/>
        <v>28414022</v>
      </c>
      <c r="F16" s="32">
        <f t="shared" si="12"/>
        <v>99974955.8222</v>
      </c>
      <c r="G16" s="32">
        <f t="shared" si="12"/>
        <v>119829680.236</v>
      </c>
      <c r="H16" s="33">
        <f t="shared" si="8"/>
        <v>83.430879249033396</v>
      </c>
      <c r="I16" s="34">
        <f>SUM(I4:I15)</f>
        <v>203669.60176000002</v>
      </c>
      <c r="J16" s="34">
        <f>SUM(J4:J15)</f>
        <v>5075.5751687432721</v>
      </c>
      <c r="K16" s="34">
        <f t="shared" si="9"/>
        <v>208745.17692874328</v>
      </c>
      <c r="L16" s="34">
        <f>SUM(L4:L15)</f>
        <v>9707382.1388669983</v>
      </c>
      <c r="M16" s="34">
        <f>SUM(M4:M15)</f>
        <v>971191.91294813342</v>
      </c>
      <c r="N16" s="34">
        <f>SUM(N4:N15)</f>
        <v>33835.65858064685</v>
      </c>
      <c r="O16" s="34">
        <f t="shared" si="10"/>
        <v>10712409.710395779</v>
      </c>
      <c r="P16" s="34">
        <f>SUM(P4:P15)</f>
        <v>14723455.997355998</v>
      </c>
      <c r="Q16" s="34">
        <f t="shared" si="11"/>
        <v>72.757440320529966</v>
      </c>
    </row>
    <row r="17" spans="1:17" ht="20.100000000000001" customHeight="1" x14ac:dyDescent="0.3">
      <c r="A17" s="75" t="s">
        <v>37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7"/>
    </row>
    <row r="18" spans="1:17" s="3" customFormat="1" x14ac:dyDescent="0.25">
      <c r="A18" s="72" t="s">
        <v>33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4"/>
    </row>
    <row r="19" spans="1:17" s="3" customFormat="1" x14ac:dyDescent="0.25">
      <c r="A19" s="72" t="s">
        <v>34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4"/>
    </row>
    <row r="20" spans="1:17" s="3" customFormat="1" ht="33.75" customHeight="1" x14ac:dyDescent="0.25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</row>
    <row r="21" spans="1:17" ht="51.75" customHeight="1" x14ac:dyDescent="0.3">
      <c r="A21" s="93">
        <v>2023</v>
      </c>
      <c r="B21" s="93"/>
      <c r="C21" s="94" t="s">
        <v>39</v>
      </c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5"/>
      <c r="P21" s="95"/>
      <c r="Q21" s="95"/>
    </row>
    <row r="22" spans="1:17" ht="33" customHeight="1" x14ac:dyDescent="0.3">
      <c r="A22" s="96" t="s">
        <v>0</v>
      </c>
      <c r="B22" s="98" t="s">
        <v>1</v>
      </c>
      <c r="C22" s="99"/>
      <c r="D22" s="100"/>
      <c r="E22" s="101" t="s">
        <v>2</v>
      </c>
      <c r="F22" s="101" t="s">
        <v>3</v>
      </c>
      <c r="G22" s="101" t="s">
        <v>4</v>
      </c>
      <c r="H22" s="101" t="s">
        <v>5</v>
      </c>
      <c r="I22" s="98" t="s">
        <v>6</v>
      </c>
      <c r="J22" s="99"/>
      <c r="K22" s="100"/>
      <c r="L22" s="98" t="s">
        <v>7</v>
      </c>
      <c r="M22" s="99"/>
      <c r="N22" s="99"/>
      <c r="O22" s="100"/>
      <c r="P22" s="101" t="s">
        <v>8</v>
      </c>
      <c r="Q22" s="101" t="s">
        <v>9</v>
      </c>
    </row>
    <row r="23" spans="1:17" ht="150.75" customHeight="1" x14ac:dyDescent="0.3">
      <c r="A23" s="97"/>
      <c r="B23" s="48" t="s">
        <v>10</v>
      </c>
      <c r="C23" s="48" t="s">
        <v>11</v>
      </c>
      <c r="D23" s="48" t="s">
        <v>12</v>
      </c>
      <c r="E23" s="102"/>
      <c r="F23" s="102"/>
      <c r="G23" s="102"/>
      <c r="H23" s="102"/>
      <c r="I23" s="48" t="s">
        <v>13</v>
      </c>
      <c r="J23" s="49" t="s">
        <v>14</v>
      </c>
      <c r="K23" s="48" t="s">
        <v>15</v>
      </c>
      <c r="L23" s="48" t="s">
        <v>16</v>
      </c>
      <c r="M23" s="48" t="s">
        <v>17</v>
      </c>
      <c r="N23" s="48" t="s">
        <v>18</v>
      </c>
      <c r="O23" s="48" t="s">
        <v>19</v>
      </c>
      <c r="P23" s="102"/>
      <c r="Q23" s="102"/>
    </row>
    <row r="24" spans="1:17" ht="23.1" customHeight="1" x14ac:dyDescent="0.3">
      <c r="A24" s="50" t="s">
        <v>20</v>
      </c>
      <c r="B24" s="51">
        <v>187</v>
      </c>
      <c r="C24" s="52">
        <v>687.48333333333335</v>
      </c>
      <c r="D24" s="53">
        <v>446.81600000000003</v>
      </c>
      <c r="E24" s="51">
        <v>5776</v>
      </c>
      <c r="F24" s="52">
        <v>16465.993999999999</v>
      </c>
      <c r="G24" s="52">
        <v>29656.398000000001</v>
      </c>
      <c r="H24" s="56">
        <f t="shared" ref="H24:H36" si="13">IFERROR(F24/G24*100," ")</f>
        <v>55.522568856811262</v>
      </c>
      <c r="I24" s="55">
        <v>1422.00226</v>
      </c>
      <c r="J24" s="56"/>
      <c r="K24" s="56">
        <f>IF(AND(ISBLANK(I24),ISBLANK(J24))=TRUE,"",I24+J24)</f>
        <v>1422.00226</v>
      </c>
      <c r="L24" s="55">
        <v>1271.87455</v>
      </c>
      <c r="M24" s="56">
        <v>3131.3418297400003</v>
      </c>
      <c r="N24" s="56">
        <v>0</v>
      </c>
      <c r="O24" s="57">
        <f t="shared" ref="O24:O35" si="14">IF(AND(ISBLANK(L24),ISBLANK(M24),ISBLANK(N24))=TRUE,"",L24+M24+N24)</f>
        <v>4403.2163797400008</v>
      </c>
      <c r="P24" s="56">
        <v>8719.4698719999997</v>
      </c>
      <c r="Q24" s="54">
        <f>IFERROR(O24/P24*100," ")</f>
        <v>50.498670726297576</v>
      </c>
    </row>
    <row r="25" spans="1:17" ht="23.1" customHeight="1" x14ac:dyDescent="0.3">
      <c r="A25" s="35" t="s">
        <v>21</v>
      </c>
      <c r="B25" s="37">
        <v>94</v>
      </c>
      <c r="C25" s="38">
        <v>302.08333333333337</v>
      </c>
      <c r="D25" s="41">
        <v>207.136</v>
      </c>
      <c r="E25" s="37">
        <v>2014</v>
      </c>
      <c r="F25" s="38">
        <v>5537.5770000000002</v>
      </c>
      <c r="G25" s="38">
        <v>7547.8760000000002</v>
      </c>
      <c r="H25" s="58">
        <f t="shared" si="13"/>
        <v>73.366030390536366</v>
      </c>
      <c r="I25" s="39">
        <v>708.53195999999991</v>
      </c>
      <c r="J25" s="40"/>
      <c r="K25" s="40">
        <f t="shared" ref="K25:K35" si="15">IF(AND(ISBLANK(I25),ISBLANK(J25))=TRUE,"",I25+J25)</f>
        <v>708.53195999999991</v>
      </c>
      <c r="L25" s="39">
        <v>471.55231500000002</v>
      </c>
      <c r="M25" s="40">
        <v>1481.0713933199997</v>
      </c>
      <c r="N25" s="40">
        <v>0</v>
      </c>
      <c r="O25" s="36">
        <f t="shared" si="14"/>
        <v>1952.6237083199999</v>
      </c>
      <c r="P25" s="40">
        <v>3928.527</v>
      </c>
      <c r="Q25" s="58">
        <f t="shared" ref="Q25:Q35" si="16">IFERROR(O25/P25*100," ")</f>
        <v>49.703711042841242</v>
      </c>
    </row>
    <row r="26" spans="1:17" ht="23.1" customHeight="1" x14ac:dyDescent="0.3">
      <c r="A26" s="50" t="s">
        <v>22</v>
      </c>
      <c r="B26" s="59">
        <v>131</v>
      </c>
      <c r="C26" s="60">
        <v>159</v>
      </c>
      <c r="D26" s="61">
        <v>213.501</v>
      </c>
      <c r="E26" s="59">
        <v>701</v>
      </c>
      <c r="F26" s="60">
        <v>2470</v>
      </c>
      <c r="G26" s="60">
        <v>2622</v>
      </c>
      <c r="H26" s="62">
        <f t="shared" si="13"/>
        <v>94.20289855072464</v>
      </c>
      <c r="I26" s="63">
        <v>1753.0920099999998</v>
      </c>
      <c r="J26" s="64"/>
      <c r="K26" s="64">
        <f t="shared" si="15"/>
        <v>1753.0920099999998</v>
      </c>
      <c r="L26" s="63">
        <v>222</v>
      </c>
      <c r="M26" s="64">
        <v>2929.4381856600003</v>
      </c>
      <c r="N26" s="64"/>
      <c r="O26" s="65">
        <f t="shared" si="14"/>
        <v>3151.4381856600003</v>
      </c>
      <c r="P26" s="64">
        <v>4057.5189999999998</v>
      </c>
      <c r="Q26" s="62">
        <f t="shared" si="16"/>
        <v>77.669092508500896</v>
      </c>
    </row>
    <row r="27" spans="1:17" ht="23.1" customHeight="1" x14ac:dyDescent="0.3">
      <c r="A27" s="35" t="s">
        <v>23</v>
      </c>
      <c r="B27" s="37">
        <v>131</v>
      </c>
      <c r="C27" s="38">
        <v>288.66666666666669</v>
      </c>
      <c r="D27" s="41">
        <v>199.00399999999999</v>
      </c>
      <c r="E27" s="37">
        <v>0</v>
      </c>
      <c r="F27" s="38">
        <v>0</v>
      </c>
      <c r="G27" s="38">
        <v>0</v>
      </c>
      <c r="H27" s="58" t="str">
        <f t="shared" si="13"/>
        <v xml:space="preserve"> </v>
      </c>
      <c r="I27" s="39">
        <v>528.16898000000015</v>
      </c>
      <c r="J27" s="40"/>
      <c r="K27" s="40">
        <f t="shared" si="15"/>
        <v>528.16898000000015</v>
      </c>
      <c r="L27" s="39"/>
      <c r="M27" s="40">
        <v>946.43706146999978</v>
      </c>
      <c r="N27" s="40"/>
      <c r="O27" s="36">
        <f t="shared" si="14"/>
        <v>946.43706146999978</v>
      </c>
      <c r="P27" s="40">
        <v>3784.0790000000002</v>
      </c>
      <c r="Q27" s="58">
        <f t="shared" si="16"/>
        <v>25.011028085565862</v>
      </c>
    </row>
    <row r="28" spans="1:17" s="2" customFormat="1" ht="30" customHeight="1" x14ac:dyDescent="0.25">
      <c r="A28" s="50" t="s">
        <v>24</v>
      </c>
      <c r="B28" s="59">
        <v>81</v>
      </c>
      <c r="C28" s="60">
        <v>417.29999999999995</v>
      </c>
      <c r="D28" s="61">
        <v>144.52500000000001</v>
      </c>
      <c r="E28" s="59">
        <v>909</v>
      </c>
      <c r="F28" s="60">
        <v>2929.8829999999998</v>
      </c>
      <c r="G28" s="60">
        <v>8075.2020000000002</v>
      </c>
      <c r="H28" s="62">
        <f t="shared" si="13"/>
        <v>36.282473181475829</v>
      </c>
      <c r="I28" s="63">
        <v>133.89415</v>
      </c>
      <c r="J28" s="64"/>
      <c r="K28" s="64">
        <f t="shared" si="15"/>
        <v>133.89415</v>
      </c>
      <c r="L28" s="63">
        <v>243.83962500000001</v>
      </c>
      <c r="M28" s="64">
        <v>239.79265353</v>
      </c>
      <c r="N28" s="64">
        <v>0</v>
      </c>
      <c r="O28" s="65">
        <f t="shared" si="14"/>
        <v>483.63227853000001</v>
      </c>
      <c r="P28" s="64">
        <v>2833.9259000000002</v>
      </c>
      <c r="Q28" s="62">
        <f t="shared" si="16"/>
        <v>17.065805373739661</v>
      </c>
    </row>
    <row r="29" spans="1:17" ht="23.1" customHeight="1" x14ac:dyDescent="0.3">
      <c r="A29" s="35" t="s">
        <v>25</v>
      </c>
      <c r="B29" s="37">
        <v>353</v>
      </c>
      <c r="C29" s="38">
        <v>10062</v>
      </c>
      <c r="D29" s="41">
        <v>682.52777000000003</v>
      </c>
      <c r="E29" s="37">
        <v>44222</v>
      </c>
      <c r="F29" s="38">
        <v>103657.10400000001</v>
      </c>
      <c r="G29" s="38">
        <v>116899.6139999999</v>
      </c>
      <c r="H29" s="36">
        <f t="shared" si="13"/>
        <v>88.671895871273023</v>
      </c>
      <c r="I29" s="40">
        <v>243.28262999999998</v>
      </c>
      <c r="J29" s="38"/>
      <c r="K29" s="40">
        <f t="shared" si="15"/>
        <v>243.28262999999998</v>
      </c>
      <c r="L29" s="39">
        <v>12132.32087</v>
      </c>
      <c r="M29" s="40">
        <v>388.79247275</v>
      </c>
      <c r="N29" s="40">
        <v>0</v>
      </c>
      <c r="O29" s="36">
        <f t="shared" si="14"/>
        <v>12521.113342749999</v>
      </c>
      <c r="P29" s="40">
        <v>21522.825680000002</v>
      </c>
      <c r="Q29" s="58">
        <f t="shared" si="16"/>
        <v>58.175973401044615</v>
      </c>
    </row>
    <row r="30" spans="1:17" ht="23.1" customHeight="1" x14ac:dyDescent="0.3">
      <c r="A30" s="50" t="s">
        <v>26</v>
      </c>
      <c r="B30" s="59">
        <v>326</v>
      </c>
      <c r="C30" s="60">
        <v>1733.9666666666667</v>
      </c>
      <c r="D30" s="61">
        <v>948.26300000000003</v>
      </c>
      <c r="E30" s="59">
        <v>41217</v>
      </c>
      <c r="F30" s="60">
        <v>139050.19099999999</v>
      </c>
      <c r="G30" s="60">
        <v>164730.75549999997</v>
      </c>
      <c r="H30" s="62">
        <f t="shared" si="13"/>
        <v>84.41058294059728</v>
      </c>
      <c r="I30" s="63">
        <v>210.58918</v>
      </c>
      <c r="J30" s="64"/>
      <c r="K30" s="64">
        <f t="shared" si="15"/>
        <v>210.58918</v>
      </c>
      <c r="L30" s="63">
        <v>12236.67337</v>
      </c>
      <c r="M30" s="64">
        <v>342.11448847999992</v>
      </c>
      <c r="N30" s="64">
        <v>0</v>
      </c>
      <c r="O30" s="65">
        <f t="shared" si="14"/>
        <v>12578.78785848</v>
      </c>
      <c r="P30" s="64">
        <v>20932.879500000003</v>
      </c>
      <c r="Q30" s="62">
        <f t="shared" si="16"/>
        <v>60.091053686522187</v>
      </c>
    </row>
    <row r="31" spans="1:17" ht="23.1" customHeight="1" x14ac:dyDescent="0.3">
      <c r="A31" s="35" t="s">
        <v>27</v>
      </c>
      <c r="B31" s="37">
        <v>85</v>
      </c>
      <c r="C31" s="38">
        <v>372.27333333333331</v>
      </c>
      <c r="D31" s="41">
        <v>157.07</v>
      </c>
      <c r="E31" s="37">
        <v>2757</v>
      </c>
      <c r="F31" s="38">
        <v>8217.5360000000001</v>
      </c>
      <c r="G31" s="38">
        <v>9614.2780000000002</v>
      </c>
      <c r="H31" s="58">
        <f t="shared" si="13"/>
        <v>85.47221122584557</v>
      </c>
      <c r="I31" s="39">
        <v>94.749880000000005</v>
      </c>
      <c r="J31" s="38"/>
      <c r="K31" s="58">
        <f t="shared" si="15"/>
        <v>94.749880000000005</v>
      </c>
      <c r="L31" s="38">
        <v>670.00702999999999</v>
      </c>
      <c r="M31" s="40">
        <v>183.15442060000004</v>
      </c>
      <c r="N31" s="38">
        <v>0</v>
      </c>
      <c r="O31" s="38">
        <f t="shared" si="14"/>
        <v>853.16145060000008</v>
      </c>
      <c r="P31" s="38">
        <v>3328.5276100000001</v>
      </c>
      <c r="Q31" s="40">
        <f t="shared" si="16"/>
        <v>25.631797315930932</v>
      </c>
    </row>
    <row r="32" spans="1:17" ht="23.1" customHeight="1" x14ac:dyDescent="0.3">
      <c r="A32" s="50" t="s">
        <v>28</v>
      </c>
      <c r="B32" s="59">
        <v>102</v>
      </c>
      <c r="C32" s="60">
        <v>453.21733333333333</v>
      </c>
      <c r="D32" s="61">
        <v>194.691</v>
      </c>
      <c r="E32" s="59">
        <v>1617</v>
      </c>
      <c r="F32" s="60">
        <v>7806.5969999999998</v>
      </c>
      <c r="G32" s="60">
        <v>9435.2079999999987</v>
      </c>
      <c r="H32" s="62">
        <f t="shared" si="13"/>
        <v>82.739002680174096</v>
      </c>
      <c r="I32" s="63">
        <v>160.43319</v>
      </c>
      <c r="J32" s="64"/>
      <c r="K32" s="64">
        <f t="shared" si="15"/>
        <v>160.43319</v>
      </c>
      <c r="L32" s="63">
        <v>586.2024449999999</v>
      </c>
      <c r="M32" s="64">
        <v>305.74560986</v>
      </c>
      <c r="N32" s="64">
        <v>0</v>
      </c>
      <c r="O32" s="65">
        <f t="shared" si="14"/>
        <v>891.94805485999996</v>
      </c>
      <c r="P32" s="64">
        <v>4266.2818000000007</v>
      </c>
      <c r="Q32" s="62">
        <f t="shared" si="16"/>
        <v>20.906918405155512</v>
      </c>
    </row>
    <row r="33" spans="1:17" ht="23.1" customHeight="1" x14ac:dyDescent="0.3">
      <c r="A33" s="35" t="s">
        <v>29</v>
      </c>
      <c r="B33" s="37">
        <v>105</v>
      </c>
      <c r="C33" s="38">
        <v>456.03333333333336</v>
      </c>
      <c r="D33" s="41">
        <v>242.679</v>
      </c>
      <c r="E33" s="37">
        <v>4796</v>
      </c>
      <c r="F33" s="38">
        <v>14732.013000000001</v>
      </c>
      <c r="G33" s="38">
        <v>20634.263999999999</v>
      </c>
      <c r="H33" s="58">
        <f t="shared" si="13"/>
        <v>71.395873388069489</v>
      </c>
      <c r="I33" s="39">
        <v>568.48603999999989</v>
      </c>
      <c r="J33" s="40"/>
      <c r="K33" s="40">
        <f t="shared" si="15"/>
        <v>568.48603999999989</v>
      </c>
      <c r="L33" s="39">
        <v>1104.900975</v>
      </c>
      <c r="M33" s="40">
        <v>1241.8553189499994</v>
      </c>
      <c r="N33" s="40"/>
      <c r="O33" s="36">
        <f t="shared" si="14"/>
        <v>2346.7562939499994</v>
      </c>
      <c r="P33" s="40">
        <v>6454.68</v>
      </c>
      <c r="Q33" s="58">
        <f t="shared" si="16"/>
        <v>36.357438230090402</v>
      </c>
    </row>
    <row r="34" spans="1:17" ht="23.1" customHeight="1" x14ac:dyDescent="0.3">
      <c r="A34" s="50" t="s">
        <v>30</v>
      </c>
      <c r="B34" s="59">
        <v>94</v>
      </c>
      <c r="C34" s="60">
        <v>423.4163333333334</v>
      </c>
      <c r="D34" s="61">
        <v>211.042</v>
      </c>
      <c r="E34" s="59">
        <v>2296</v>
      </c>
      <c r="F34" s="60">
        <v>8944.268</v>
      </c>
      <c r="G34" s="60">
        <v>13022.244000000001</v>
      </c>
      <c r="H34" s="62">
        <f t="shared" si="13"/>
        <v>68.684537012207727</v>
      </c>
      <c r="I34" s="63">
        <v>216.2311</v>
      </c>
      <c r="J34" s="64"/>
      <c r="K34" s="64">
        <f t="shared" si="15"/>
        <v>216.2311</v>
      </c>
      <c r="L34" s="63">
        <v>670.82010000000002</v>
      </c>
      <c r="M34" s="64">
        <v>535.56331519000003</v>
      </c>
      <c r="N34" s="64">
        <v>0</v>
      </c>
      <c r="O34" s="65">
        <f t="shared" si="14"/>
        <v>1206.3834151900001</v>
      </c>
      <c r="P34" s="64">
        <v>4774.9799999999996</v>
      </c>
      <c r="Q34" s="62">
        <f t="shared" si="16"/>
        <v>25.264679960753767</v>
      </c>
    </row>
    <row r="35" spans="1:17" ht="23.1" customHeight="1" x14ac:dyDescent="0.3">
      <c r="A35" s="35" t="s">
        <v>31</v>
      </c>
      <c r="B35" s="42">
        <v>120</v>
      </c>
      <c r="C35" s="43">
        <v>513.41599999999994</v>
      </c>
      <c r="D35" s="44">
        <v>245.78900000000002</v>
      </c>
      <c r="E35" s="42">
        <v>858</v>
      </c>
      <c r="F35" s="43">
        <v>1825.4009999999998</v>
      </c>
      <c r="G35" s="43">
        <v>1971.729</v>
      </c>
      <c r="H35" s="45">
        <f t="shared" si="13"/>
        <v>92.578696159563506</v>
      </c>
      <c r="I35" s="46">
        <v>821.67845999999997</v>
      </c>
      <c r="J35" s="47"/>
      <c r="K35" s="47">
        <f t="shared" si="15"/>
        <v>821.67845999999997</v>
      </c>
      <c r="L35" s="46">
        <v>136.90507499999998</v>
      </c>
      <c r="M35" s="47">
        <v>1941.9083898800002</v>
      </c>
      <c r="N35" s="47"/>
      <c r="O35" s="45">
        <f t="shared" si="14"/>
        <v>2078.8134648800001</v>
      </c>
      <c r="P35" s="47">
        <v>4563.7359999999999</v>
      </c>
      <c r="Q35" s="45">
        <f t="shared" si="16"/>
        <v>45.550694976221237</v>
      </c>
    </row>
    <row r="36" spans="1:17" ht="23.1" customHeight="1" x14ac:dyDescent="0.3">
      <c r="A36" s="66" t="s">
        <v>32</v>
      </c>
      <c r="B36" s="67">
        <f t="shared" ref="B36:G36" si="17">SUM(B24:B35)</f>
        <v>1809</v>
      </c>
      <c r="C36" s="67">
        <f t="shared" si="17"/>
        <v>15868.856333333331</v>
      </c>
      <c r="D36" s="67">
        <f t="shared" si="17"/>
        <v>3893.0437700000002</v>
      </c>
      <c r="E36" s="67">
        <f t="shared" si="17"/>
        <v>107163</v>
      </c>
      <c r="F36" s="67">
        <f t="shared" si="17"/>
        <v>311636.56400000001</v>
      </c>
      <c r="G36" s="67">
        <f t="shared" si="17"/>
        <v>384209.56849999988</v>
      </c>
      <c r="H36" s="68">
        <f t="shared" si="13"/>
        <v>81.111088726047726</v>
      </c>
      <c r="I36" s="69">
        <f>SUM(I24:I35)</f>
        <v>6861.1398399999998</v>
      </c>
      <c r="J36" s="69">
        <f>SUM(J24:J35)</f>
        <v>0</v>
      </c>
      <c r="K36" s="69">
        <f t="shared" ref="K36" si="18">IF(AND(ISBLANK(I36),ISBLANK(J36))=TRUE,"",I36+J36)</f>
        <v>6861.1398399999998</v>
      </c>
      <c r="L36" s="69">
        <f>SUM(L24:L35)</f>
        <v>29747.096355000001</v>
      </c>
      <c r="M36" s="69">
        <f>SUM(M24:M35)</f>
        <v>13667.215139429998</v>
      </c>
      <c r="N36" s="69">
        <f>SUM(N24:N35)</f>
        <v>0</v>
      </c>
      <c r="O36" s="69">
        <f t="shared" ref="O36" si="19">IF(AND(ISBLANK(L36),ISBLANK(M36),ISBLANK(N36))=TRUE,"",L36+M36+N36)</f>
        <v>43414.311494430003</v>
      </c>
      <c r="P36" s="69">
        <f>SUM(P24:P35)</f>
        <v>89167.431362000018</v>
      </c>
      <c r="Q36" s="68">
        <f t="shared" ref="Q36" si="20">IFERROR(O36/P36*100," ")</f>
        <v>48.688529916464134</v>
      </c>
    </row>
    <row r="37" spans="1:17" ht="18.75" customHeight="1" x14ac:dyDescent="0.3">
      <c r="A37" s="75" t="s">
        <v>36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7"/>
    </row>
    <row r="38" spans="1:17" x14ac:dyDescent="0.3">
      <c r="A38" s="72" t="s">
        <v>33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</row>
    <row r="39" spans="1:17" x14ac:dyDescent="0.3">
      <c r="A39" s="72" t="s">
        <v>34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/>
    </row>
    <row r="40" spans="1:17" ht="24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</row>
    <row r="41" spans="1:17" ht="28.9" customHeight="1" x14ac:dyDescent="0.3"/>
    <row r="42" spans="1:17" ht="178.5" customHeight="1" x14ac:dyDescent="0.3">
      <c r="H42" s="70"/>
      <c r="Q42" s="70"/>
    </row>
    <row r="43" spans="1:17" ht="25.5" customHeight="1" x14ac:dyDescent="0.3"/>
    <row r="44" spans="1:17" ht="25.5" customHeight="1" x14ac:dyDescent="0.3">
      <c r="H44" s="70"/>
      <c r="Q44" s="70"/>
    </row>
    <row r="45" spans="1:17" ht="25.5" customHeight="1" x14ac:dyDescent="0.3"/>
    <row r="46" spans="1:17" ht="25.5" customHeight="1" x14ac:dyDescent="0.3">
      <c r="H46" s="70"/>
      <c r="Q46" s="70"/>
    </row>
    <row r="47" spans="1:17" ht="25.5" customHeight="1" x14ac:dyDescent="0.3"/>
    <row r="48" spans="1:17" ht="25.5" customHeight="1" x14ac:dyDescent="0.3">
      <c r="H48" s="70"/>
      <c r="Q48" s="70"/>
    </row>
    <row r="49" spans="8:17" ht="25.5" customHeight="1" x14ac:dyDescent="0.3"/>
    <row r="50" spans="8:17" ht="25.5" customHeight="1" x14ac:dyDescent="0.3">
      <c r="H50" s="70"/>
      <c r="Q50" s="70"/>
    </row>
    <row r="51" spans="8:17" ht="25.5" customHeight="1" x14ac:dyDescent="0.3"/>
    <row r="52" spans="8:17" ht="25.5" customHeight="1" x14ac:dyDescent="0.3">
      <c r="H52" s="70"/>
      <c r="Q52" s="70"/>
    </row>
    <row r="53" spans="8:17" ht="25.5" customHeight="1" x14ac:dyDescent="0.3"/>
    <row r="54" spans="8:17" ht="25.5" customHeight="1" x14ac:dyDescent="0.3">
      <c r="H54" s="70"/>
      <c r="Q54" s="70"/>
    </row>
    <row r="55" spans="8:17" ht="25.5" customHeight="1" x14ac:dyDescent="0.3"/>
    <row r="56" spans="8:17" ht="22.5" customHeight="1" x14ac:dyDescent="0.3">
      <c r="H56" s="70"/>
      <c r="Q56" s="70"/>
    </row>
    <row r="57" spans="8:17" ht="22.5" customHeight="1" x14ac:dyDescent="0.3"/>
    <row r="58" spans="8:17" ht="22.5" customHeight="1" x14ac:dyDescent="0.3">
      <c r="H58" s="70"/>
      <c r="Q58" s="70"/>
    </row>
    <row r="59" spans="8:17" ht="47.25" customHeight="1" x14ac:dyDescent="0.3">
      <c r="H59" s="70"/>
      <c r="Q59" s="70"/>
    </row>
    <row r="60" spans="8:17" ht="28.9" customHeight="1" x14ac:dyDescent="0.3">
      <c r="H60" s="70"/>
      <c r="Q60" s="70"/>
    </row>
    <row r="61" spans="8:17" ht="164.25" customHeight="1" x14ac:dyDescent="0.3">
      <c r="H61" s="70"/>
      <c r="Q61" s="70"/>
    </row>
    <row r="62" spans="8:17" ht="24.75" customHeight="1" x14ac:dyDescent="0.3">
      <c r="H62" s="70"/>
      <c r="Q62" s="70"/>
    </row>
    <row r="63" spans="8:17" ht="24.75" customHeight="1" x14ac:dyDescent="0.3">
      <c r="H63" s="70"/>
      <c r="Q63" s="70"/>
    </row>
    <row r="64" spans="8:17" ht="24.75" customHeight="1" x14ac:dyDescent="0.3">
      <c r="H64" s="70"/>
      <c r="Q64" s="70"/>
    </row>
    <row r="65" ht="24.75" customHeight="1" x14ac:dyDescent="0.3"/>
    <row r="66" ht="24.75" customHeight="1" x14ac:dyDescent="0.3"/>
    <row r="67" ht="24.75" customHeight="1" x14ac:dyDescent="0.3"/>
    <row r="68" ht="24.7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84" spans="8:17" x14ac:dyDescent="0.3">
      <c r="H84" s="70"/>
      <c r="Q84" s="70"/>
    </row>
    <row r="87" spans="8:17" x14ac:dyDescent="0.3">
      <c r="H87" s="70"/>
      <c r="Q87" s="70"/>
    </row>
    <row r="89" spans="8:17" x14ac:dyDescent="0.3">
      <c r="H89" s="70"/>
      <c r="Q89" s="70"/>
    </row>
    <row r="91" spans="8:17" x14ac:dyDescent="0.3">
      <c r="H91" s="70"/>
      <c r="Q91" s="70"/>
    </row>
    <row r="93" spans="8:17" x14ac:dyDescent="0.3">
      <c r="H93" s="70"/>
      <c r="Q93" s="70"/>
    </row>
    <row r="95" spans="8:17" x14ac:dyDescent="0.3">
      <c r="H95" s="70"/>
      <c r="Q95" s="70"/>
    </row>
    <row r="97" spans="8:17" x14ac:dyDescent="0.3">
      <c r="H97" s="70"/>
      <c r="Q97" s="70"/>
    </row>
    <row r="99" spans="8:17" x14ac:dyDescent="0.3">
      <c r="H99" s="70"/>
      <c r="Q99" s="70"/>
    </row>
    <row r="101" spans="8:17" x14ac:dyDescent="0.3">
      <c r="H101" s="70"/>
      <c r="Q101" s="70"/>
    </row>
    <row r="103" spans="8:17" x14ac:dyDescent="0.3">
      <c r="H103" s="70"/>
      <c r="Q103" s="70"/>
    </row>
    <row r="104" spans="8:17" x14ac:dyDescent="0.3">
      <c r="Q104" s="70"/>
    </row>
    <row r="105" spans="8:17" x14ac:dyDescent="0.3">
      <c r="H105" s="70"/>
      <c r="Q105" s="70"/>
    </row>
    <row r="106" spans="8:17" x14ac:dyDescent="0.3">
      <c r="H106" s="70"/>
      <c r="Q106" s="70"/>
    </row>
    <row r="107" spans="8:17" x14ac:dyDescent="0.3">
      <c r="H107" s="70"/>
      <c r="Q107" s="70"/>
    </row>
    <row r="108" spans="8:17" x14ac:dyDescent="0.3">
      <c r="H108" s="70"/>
      <c r="Q108" s="70"/>
    </row>
    <row r="109" spans="8:17" x14ac:dyDescent="0.3">
      <c r="H109" s="70"/>
      <c r="Q109" s="70"/>
    </row>
    <row r="132" spans="8:17" x14ac:dyDescent="0.3">
      <c r="H132" s="70"/>
      <c r="Q132" s="70"/>
    </row>
    <row r="135" spans="8:17" x14ac:dyDescent="0.3">
      <c r="H135" s="70"/>
      <c r="Q135" s="70"/>
    </row>
    <row r="137" spans="8:17" x14ac:dyDescent="0.3">
      <c r="H137" s="70"/>
      <c r="Q137" s="70"/>
    </row>
    <row r="139" spans="8:17" x14ac:dyDescent="0.3">
      <c r="H139" s="70"/>
      <c r="Q139" s="70"/>
    </row>
    <row r="141" spans="8:17" x14ac:dyDescent="0.3">
      <c r="H141" s="70"/>
      <c r="Q141" s="70"/>
    </row>
    <row r="143" spans="8:17" x14ac:dyDescent="0.3">
      <c r="H143" s="70"/>
      <c r="Q143" s="70"/>
    </row>
    <row r="145" spans="8:17" x14ac:dyDescent="0.3">
      <c r="H145" s="70"/>
      <c r="Q145" s="70"/>
    </row>
    <row r="147" spans="8:17" x14ac:dyDescent="0.3">
      <c r="H147" s="70"/>
      <c r="Q147" s="70"/>
    </row>
    <row r="149" spans="8:17" x14ac:dyDescent="0.3">
      <c r="H149" s="70"/>
      <c r="Q149" s="70"/>
    </row>
    <row r="151" spans="8:17" x14ac:dyDescent="0.3">
      <c r="H151" s="70"/>
      <c r="Q151" s="70"/>
    </row>
    <row r="153" spans="8:17" x14ac:dyDescent="0.3">
      <c r="H153" s="70"/>
      <c r="Q153" s="70"/>
    </row>
    <row r="155" spans="8:17" x14ac:dyDescent="0.3">
      <c r="H155" s="70"/>
      <c r="Q155" s="70"/>
    </row>
    <row r="157" spans="8:17" x14ac:dyDescent="0.3">
      <c r="H157" s="70"/>
      <c r="Q157" s="70"/>
    </row>
    <row r="180" spans="8:17" x14ac:dyDescent="0.3">
      <c r="H180" s="70"/>
      <c r="Q180" s="70"/>
    </row>
    <row r="182" spans="8:17" x14ac:dyDescent="0.3">
      <c r="H182" s="70"/>
      <c r="Q182" s="70"/>
    </row>
    <row r="183" spans="8:17" x14ac:dyDescent="0.3">
      <c r="H183" s="70"/>
      <c r="Q183" s="70"/>
    </row>
    <row r="184" spans="8:17" x14ac:dyDescent="0.3">
      <c r="H184" s="70"/>
      <c r="Q184" s="70"/>
    </row>
    <row r="185" spans="8:17" x14ac:dyDescent="0.3">
      <c r="H185" s="70"/>
      <c r="Q185" s="70"/>
    </row>
    <row r="186" spans="8:17" x14ac:dyDescent="0.3">
      <c r="H186" s="70"/>
      <c r="Q186" s="70"/>
    </row>
    <row r="187" spans="8:17" x14ac:dyDescent="0.3">
      <c r="H187" s="70"/>
      <c r="Q187" s="70"/>
    </row>
    <row r="188" spans="8:17" x14ac:dyDescent="0.3">
      <c r="H188" s="70"/>
      <c r="Q188" s="70"/>
    </row>
    <row r="189" spans="8:17" x14ac:dyDescent="0.3">
      <c r="H189" s="70"/>
      <c r="Q189" s="70"/>
    </row>
    <row r="190" spans="8:17" x14ac:dyDescent="0.3">
      <c r="H190" s="70"/>
      <c r="Q190" s="70"/>
    </row>
    <row r="191" spans="8:17" x14ac:dyDescent="0.3">
      <c r="H191" s="70"/>
      <c r="Q191" s="70"/>
    </row>
    <row r="192" spans="8:17" x14ac:dyDescent="0.3">
      <c r="H192" s="70"/>
      <c r="Q192" s="70"/>
    </row>
    <row r="193" spans="8:17" x14ac:dyDescent="0.3">
      <c r="H193" s="70"/>
      <c r="Q193" s="70"/>
    </row>
    <row r="194" spans="8:17" x14ac:dyDescent="0.3">
      <c r="H194" s="70"/>
      <c r="Q194" s="70"/>
    </row>
    <row r="195" spans="8:17" x14ac:dyDescent="0.3">
      <c r="H195" s="70"/>
      <c r="Q195" s="70"/>
    </row>
    <row r="196" spans="8:17" x14ac:dyDescent="0.3">
      <c r="H196" s="70"/>
      <c r="Q196" s="70"/>
    </row>
    <row r="197" spans="8:17" x14ac:dyDescent="0.3">
      <c r="H197" s="70"/>
      <c r="Q197" s="70"/>
    </row>
    <row r="198" spans="8:17" x14ac:dyDescent="0.3">
      <c r="H198" s="70"/>
      <c r="Q198" s="70"/>
    </row>
    <row r="199" spans="8:17" x14ac:dyDescent="0.3">
      <c r="H199" s="70"/>
      <c r="Q199" s="70"/>
    </row>
    <row r="200" spans="8:17" x14ac:dyDescent="0.3">
      <c r="H200" s="70"/>
      <c r="Q200" s="70"/>
    </row>
    <row r="201" spans="8:17" x14ac:dyDescent="0.3">
      <c r="H201" s="70"/>
      <c r="Q201" s="70"/>
    </row>
    <row r="202" spans="8:17" x14ac:dyDescent="0.3">
      <c r="H202" s="70"/>
      <c r="Q202" s="70"/>
    </row>
    <row r="203" spans="8:17" x14ac:dyDescent="0.3">
      <c r="H203" s="70"/>
      <c r="Q203" s="70"/>
    </row>
    <row r="204" spans="8:17" x14ac:dyDescent="0.3">
      <c r="H204" s="70"/>
      <c r="Q204" s="70"/>
    </row>
    <row r="205" spans="8:17" x14ac:dyDescent="0.3">
      <c r="H205" s="70"/>
      <c r="Q205" s="70"/>
    </row>
    <row r="228" spans="8:17" x14ac:dyDescent="0.3">
      <c r="H228" s="70"/>
      <c r="Q228" s="70"/>
    </row>
    <row r="231" spans="8:17" x14ac:dyDescent="0.3">
      <c r="H231" s="70"/>
      <c r="Q231" s="70"/>
    </row>
    <row r="233" spans="8:17" x14ac:dyDescent="0.3">
      <c r="H233" s="70"/>
      <c r="Q233" s="70"/>
    </row>
    <row r="234" spans="8:17" x14ac:dyDescent="0.3">
      <c r="H234" s="70"/>
    </row>
    <row r="235" spans="8:17" x14ac:dyDescent="0.3">
      <c r="H235" s="70"/>
      <c r="Q235" s="70"/>
    </row>
    <row r="237" spans="8:17" x14ac:dyDescent="0.3">
      <c r="H237" s="70"/>
      <c r="Q237" s="70"/>
    </row>
    <row r="239" spans="8:17" x14ac:dyDescent="0.3">
      <c r="H239" s="70"/>
      <c r="Q239" s="70"/>
    </row>
    <row r="241" spans="8:17" x14ac:dyDescent="0.3">
      <c r="H241" s="70"/>
      <c r="Q241" s="70"/>
    </row>
    <row r="243" spans="8:17" x14ac:dyDescent="0.3">
      <c r="H243" s="70"/>
      <c r="Q243" s="70"/>
    </row>
    <row r="245" spans="8:17" x14ac:dyDescent="0.3">
      <c r="H245" s="70"/>
      <c r="Q245" s="70"/>
    </row>
    <row r="247" spans="8:17" x14ac:dyDescent="0.3">
      <c r="H247" s="70"/>
      <c r="Q247" s="70"/>
    </row>
    <row r="248" spans="8:17" x14ac:dyDescent="0.3">
      <c r="H248" s="70"/>
      <c r="Q248" s="70"/>
    </row>
    <row r="249" spans="8:17" x14ac:dyDescent="0.3">
      <c r="H249" s="70"/>
      <c r="Q249" s="70"/>
    </row>
    <row r="250" spans="8:17" x14ac:dyDescent="0.3">
      <c r="H250" s="70"/>
      <c r="Q250" s="70"/>
    </row>
    <row r="251" spans="8:17" x14ac:dyDescent="0.3">
      <c r="H251" s="70"/>
      <c r="Q251" s="70"/>
    </row>
    <row r="252" spans="8:17" x14ac:dyDescent="0.3">
      <c r="H252" s="70"/>
      <c r="Q252" s="70"/>
    </row>
    <row r="253" spans="8:17" x14ac:dyDescent="0.3">
      <c r="H253" s="70"/>
      <c r="Q253" s="70"/>
    </row>
    <row r="255" spans="8:17" x14ac:dyDescent="0.3">
      <c r="H255" s="70"/>
    </row>
    <row r="274" spans="8:17" x14ac:dyDescent="0.3">
      <c r="H274" s="70"/>
      <c r="Q274" s="70"/>
    </row>
    <row r="277" spans="8:17" x14ac:dyDescent="0.3">
      <c r="H277" s="70"/>
      <c r="Q277" s="70"/>
    </row>
    <row r="279" spans="8:17" x14ac:dyDescent="0.3">
      <c r="H279" s="70"/>
      <c r="Q279" s="70"/>
    </row>
    <row r="281" spans="8:17" x14ac:dyDescent="0.3">
      <c r="H281" s="70"/>
      <c r="Q281" s="70"/>
    </row>
    <row r="283" spans="8:17" x14ac:dyDescent="0.3">
      <c r="H283" s="70"/>
      <c r="Q283" s="70"/>
    </row>
    <row r="285" spans="8:17" x14ac:dyDescent="0.3">
      <c r="H285" s="70"/>
      <c r="Q285" s="70"/>
    </row>
    <row r="287" spans="8:17" x14ac:dyDescent="0.3">
      <c r="H287" s="70"/>
      <c r="Q287" s="70"/>
    </row>
    <row r="289" spans="8:17" x14ac:dyDescent="0.3">
      <c r="H289" s="70"/>
      <c r="Q289" s="70"/>
    </row>
    <row r="291" spans="8:17" x14ac:dyDescent="0.3">
      <c r="H291" s="70"/>
      <c r="Q291" s="70"/>
    </row>
    <row r="293" spans="8:17" x14ac:dyDescent="0.3">
      <c r="H293" s="70"/>
      <c r="Q293" s="70"/>
    </row>
    <row r="295" spans="8:17" x14ac:dyDescent="0.3">
      <c r="H295" s="70"/>
      <c r="Q295" s="70"/>
    </row>
    <row r="297" spans="8:17" x14ac:dyDescent="0.3">
      <c r="H297" s="70"/>
      <c r="Q297" s="70"/>
    </row>
    <row r="299" spans="8:17" x14ac:dyDescent="0.3">
      <c r="H299" s="70"/>
      <c r="Q299" s="70"/>
    </row>
    <row r="325" spans="8:17" x14ac:dyDescent="0.3">
      <c r="Q325" s="70"/>
    </row>
    <row r="327" spans="8:17" x14ac:dyDescent="0.3">
      <c r="H327" s="70"/>
      <c r="Q327" s="70"/>
    </row>
    <row r="329" spans="8:17" x14ac:dyDescent="0.3">
      <c r="H329" s="70"/>
    </row>
    <row r="331" spans="8:17" x14ac:dyDescent="0.3">
      <c r="H331" s="70"/>
      <c r="Q331" s="70"/>
    </row>
    <row r="359" spans="8:17" x14ac:dyDescent="0.3">
      <c r="H359" s="70"/>
    </row>
    <row r="361" spans="8:17" x14ac:dyDescent="0.3">
      <c r="Q361" s="70"/>
    </row>
    <row r="362" spans="8:17" x14ac:dyDescent="0.3">
      <c r="Q362" s="70"/>
    </row>
    <row r="363" spans="8:17" x14ac:dyDescent="0.3">
      <c r="Q363" s="70"/>
    </row>
    <row r="364" spans="8:17" x14ac:dyDescent="0.3">
      <c r="Q364" s="70"/>
    </row>
    <row r="365" spans="8:17" x14ac:dyDescent="0.3">
      <c r="H365" s="70"/>
      <c r="Q365" s="70"/>
    </row>
    <row r="367" spans="8:17" x14ac:dyDescent="0.3">
      <c r="H367" s="70"/>
      <c r="Q367" s="70"/>
    </row>
    <row r="370" spans="17:17" x14ac:dyDescent="0.3">
      <c r="Q370" s="70"/>
    </row>
    <row r="394" spans="8:17" x14ac:dyDescent="0.3">
      <c r="Q394" s="70"/>
    </row>
    <row r="395" spans="8:17" x14ac:dyDescent="0.3">
      <c r="H395" s="70"/>
      <c r="Q395" s="70"/>
    </row>
    <row r="396" spans="8:17" x14ac:dyDescent="0.3">
      <c r="H396" s="70"/>
      <c r="Q396" s="70"/>
    </row>
    <row r="397" spans="8:17" x14ac:dyDescent="0.3">
      <c r="H397" s="70"/>
      <c r="Q397" s="70"/>
    </row>
    <row r="398" spans="8:17" x14ac:dyDescent="0.3">
      <c r="H398" s="70"/>
      <c r="Q398" s="70"/>
    </row>
    <row r="399" spans="8:17" x14ac:dyDescent="0.3">
      <c r="H399" s="70"/>
      <c r="Q399" s="70"/>
    </row>
    <row r="400" spans="8:17" x14ac:dyDescent="0.3">
      <c r="H400" s="70"/>
      <c r="Q400" s="70"/>
    </row>
    <row r="402" spans="8:17" x14ac:dyDescent="0.3">
      <c r="H402" s="70"/>
      <c r="Q402" s="70"/>
    </row>
    <row r="456" spans="13:13" x14ac:dyDescent="0.3">
      <c r="M456" s="71"/>
    </row>
    <row r="457" spans="13:13" x14ac:dyDescent="0.3">
      <c r="M457" s="1" t="s">
        <v>35</v>
      </c>
    </row>
  </sheetData>
  <mergeCells count="34">
    <mergeCell ref="A40:Q40"/>
    <mergeCell ref="A39:Q39"/>
    <mergeCell ref="A21:B21"/>
    <mergeCell ref="C21:N21"/>
    <mergeCell ref="O21:Q21"/>
    <mergeCell ref="A22:A23"/>
    <mergeCell ref="B22:D22"/>
    <mergeCell ref="E22:E23"/>
    <mergeCell ref="F22:F23"/>
    <mergeCell ref="G22:G23"/>
    <mergeCell ref="H22:H23"/>
    <mergeCell ref="I22:K22"/>
    <mergeCell ref="L22:O22"/>
    <mergeCell ref="P22:P23"/>
    <mergeCell ref="Q22:Q23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8:Q18"/>
    <mergeCell ref="A38:Q38"/>
    <mergeCell ref="A19:Q19"/>
    <mergeCell ref="A37:Q37"/>
    <mergeCell ref="A17:Q17"/>
    <mergeCell ref="A20:Q20"/>
  </mergeCells>
  <printOptions gridLines="1"/>
  <pageMargins left="0.7" right="0.7" top="0.75" bottom="0.5" header="0.3" footer="0.3"/>
  <pageSetup scale="65" firstPageNumber="76" orientation="landscape" useFirstPageNumber="1" r:id="rId1"/>
  <headerFooter alignWithMargins="0"/>
  <rowBreaks count="1" manualBreakCount="1">
    <brk id="20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Monthly_Template</vt:lpstr>
      <vt:lpstr>Sheet1</vt:lpstr>
      <vt:lpstr>Monthly_Template!\x</vt:lpstr>
      <vt:lpstr>Monthly_Template!Print_Area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2023-05-22T10:04:15Z</cp:lastPrinted>
  <dcterms:created xsi:type="dcterms:W3CDTF">2021-03-02T10:01:37Z</dcterms:created>
  <dcterms:modified xsi:type="dcterms:W3CDTF">2024-01-12T09:12:58Z</dcterms:modified>
</cp:coreProperties>
</file>