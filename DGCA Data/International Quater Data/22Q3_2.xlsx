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MONTHWISE!$A$1:$N$87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J12" i="2"/>
  <c r="K12" i="2"/>
  <c r="L12" i="2"/>
  <c r="M12" i="2"/>
  <c r="N12" i="2"/>
  <c r="D84" i="2"/>
  <c r="E84" i="2"/>
  <c r="F84" i="2"/>
  <c r="G84" i="2"/>
  <c r="H84" i="2"/>
  <c r="I84" i="2"/>
  <c r="J84" i="2"/>
  <c r="K84" i="2"/>
  <c r="L84" i="2"/>
  <c r="M84" i="2"/>
  <c r="N84" i="2"/>
  <c r="C84" i="2"/>
  <c r="D85" i="2" l="1"/>
  <c r="E85" i="2"/>
  <c r="F85" i="2"/>
  <c r="G85" i="2"/>
  <c r="H85" i="2"/>
  <c r="I85" i="2"/>
  <c r="J85" i="2"/>
  <c r="K85" i="2"/>
  <c r="L85" i="2"/>
  <c r="M85" i="2"/>
  <c r="N85" i="2"/>
  <c r="C85" i="2" l="1"/>
</calcChain>
</file>

<file path=xl/sharedStrings.xml><?xml version="1.0" encoding="utf-8"?>
<sst xmlns="http://schemas.openxmlformats.org/spreadsheetml/2006/main" count="102" uniqueCount="94">
  <si>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</si>
  <si>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</si>
  <si>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</si>
  <si>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</si>
  <si>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</si>
  <si>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</si>
  <si>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</si>
  <si>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</si>
  <si>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</si>
  <si>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</si>
  <si>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</si>
  <si>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ETIHAD AIRLINES</t>
  </si>
  <si>
    <t>FEDERAL EXPRESS</t>
  </si>
  <si>
    <t>IRAN AIR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</si>
  <si>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</si>
  <si>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</si>
  <si>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</si>
  <si>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</si>
  <si>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</si>
  <si>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</si>
  <si>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</si>
  <si>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</si>
  <si>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</si>
  <si>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</si>
  <si>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</si>
  <si>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</si>
  <si>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</si>
  <si>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</si>
  <si>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</si>
  <si>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</si>
  <si>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</si>
  <si>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</si>
  <si>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</si>
  <si>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</si>
  <si>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</si>
  <si>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</si>
  <si>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</si>
  <si>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</si>
  <si>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</si>
  <si>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</si>
  <si>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</si>
  <si>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</si>
  <si>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</si>
  <si>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VISTARA AIRLINES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</si>
  <si>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</si>
  <si>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</si>
  <si>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</si>
  <si>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</si>
  <si>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</si>
  <si>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</si>
  <si>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</si>
  <si>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</si>
  <si>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LOT POLISH</t>
  </si>
  <si>
    <t>MALINDO AIRWAYS</t>
  </si>
  <si>
    <t>FLY DUBAI</t>
  </si>
  <si>
    <t>MYANMAR AIRLINES</t>
  </si>
  <si>
    <t>NEPAL AIRLINES CORPORATION</t>
  </si>
  <si>
    <t>RWANDAIR</t>
  </si>
  <si>
    <t>AIR SEYCHELLES</t>
  </si>
  <si>
    <t>JAZEERA AIRWAYS</t>
  </si>
  <si>
    <t>EGYPT AIR</t>
  </si>
  <si>
    <t>AIR INDIA EXPRESS</t>
  </si>
  <si>
    <t>GO AIR</t>
  </si>
  <si>
    <t>INDIGO</t>
  </si>
  <si>
    <t>SPICEJET</t>
  </si>
  <si>
    <t>AIR ASIA BERHAD</t>
  </si>
  <si>
    <t>CHINA AIRLINES LTD</t>
  </si>
  <si>
    <t>FINN AIR</t>
  </si>
  <si>
    <t>FLYNAS</t>
  </si>
  <si>
    <t>SCOOT TIGER AIR</t>
  </si>
  <si>
    <t>SINGAPORE AIRLINES</t>
  </si>
  <si>
    <t>UNITED PARCEL SERVICES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</si>
  <si>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</si>
  <si>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</si>
  <si>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</si>
  <si>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</si>
  <si>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</si>
  <si>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</si>
  <si>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</si>
  <si>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SALAM AIR</t>
  </si>
  <si>
    <t>SAUDIA</t>
  </si>
  <si>
    <t>THAI SMILE AIRWAYS</t>
  </si>
  <si>
    <t>AIR AUSTRAL</t>
  </si>
  <si>
    <t>BRITISH AIRWAYS</t>
  </si>
  <si>
    <t>BUDDHA AIR</t>
  </si>
  <si>
    <t>THAI AIR ASIA</t>
  </si>
  <si>
    <t>THAI LION AIR</t>
  </si>
  <si>
    <t>VIETJET AIR</t>
  </si>
  <si>
    <t>TABLE 2. AIRLINEWISE MONTHLY INTERNATIONAL TRAFFIC STATISTICS (SCHEDULED) FOR THE QUARTER JULY-SEPTEMBER 2022 (P)</t>
  </si>
  <si>
    <t>AZERBAIJAN AIRLINES</t>
  </si>
  <si>
    <t>JULY</t>
  </si>
  <si>
    <t>AUGUST</t>
  </si>
  <si>
    <t>SEPTEMBER</t>
  </si>
  <si>
    <t>Note: This table does not include the passengers and freight carried by domestic carriers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</si>
</sst>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view="pageBreakPreview" zoomScale="70" zoomScaleNormal="55" zoomScaleSheetLayoutView="70" workbookViewId="0">
      <selection activeCell="C85" sqref="C85:N85"/>
    </sheetView>
  </sheetViews>
  <sheetFormatPr defaultRowHeight="15" x14ac:dyDescent="0.25"/>
  <cols>
    <col min="1" max="1" width="9" style="1" customWidth="1"/>
    <col min="2" max="2" width="41.5703125" style="9" customWidth="1"/>
    <col min="3" max="3" width="16.7109375" style="1" customWidth="1"/>
    <col min="4" max="4" width="15.85546875" style="1" customWidth="1"/>
    <col min="5" max="6" width="16.7109375" style="1" customWidth="1"/>
    <col min="7" max="7" width="15.28515625" style="1" customWidth="1"/>
    <col min="8" max="8" width="16.7109375" style="1" customWidth="1"/>
    <col min="9" max="9" width="13.28515625" style="1" customWidth="1"/>
    <col min="10" max="11" width="16.7109375" style="1" customWidth="1"/>
    <col min="12" max="12" width="12.5703125" style="1" customWidth="1"/>
    <col min="13" max="13" width="12.28515625" style="1" customWidth="1"/>
    <col min="14" max="14" width="13.140625" style="1" customWidth="1"/>
    <col min="15" max="25" width="12.42578125" style="1" customWidth="1"/>
    <col min="26" max="16384" width="9.140625" style="1"/>
  </cols>
  <sheetData>
    <row r="1" spans="1:14" ht="52.5" customHeight="1" x14ac:dyDescent="0.25">
      <c r="A1" s="23" t="s">
        <v>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s="2" customFormat="1" ht="25.5" customHeight="1" x14ac:dyDescent="0.25">
      <c r="A2" s="24" t="s">
        <v>31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21" customHeight="1" x14ac:dyDescent="0.25">
      <c r="A3" s="25" t="s">
        <v>38</v>
      </c>
      <c r="B3" s="26" t="s">
        <v>0</v>
      </c>
      <c r="C3" s="25" t="s">
        <v>90</v>
      </c>
      <c r="D3" s="25"/>
      <c r="E3" s="25"/>
      <c r="F3" s="25"/>
      <c r="G3" s="25" t="s">
        <v>91</v>
      </c>
      <c r="H3" s="25"/>
      <c r="I3" s="25"/>
      <c r="J3" s="25"/>
      <c r="K3" s="25" t="s">
        <v>92</v>
      </c>
      <c r="L3" s="25"/>
      <c r="M3" s="25"/>
      <c r="N3" s="25"/>
    </row>
    <row r="4" spans="1:14" s="9" customFormat="1" ht="42" customHeight="1" x14ac:dyDescent="0.25">
      <c r="A4" s="25"/>
      <c r="B4" s="26"/>
      <c r="C4" s="22" t="s">
        <v>32</v>
      </c>
      <c r="D4" s="22" t="s">
        <v>33</v>
      </c>
      <c r="E4" s="22" t="s">
        <v>34</v>
      </c>
      <c r="F4" s="22" t="s">
        <v>35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32</v>
      </c>
      <c r="L4" s="22" t="s">
        <v>33</v>
      </c>
      <c r="M4" s="22" t="s">
        <v>34</v>
      </c>
      <c r="N4" s="22" t="s">
        <v>35</v>
      </c>
    </row>
    <row r="5" spans="1:14" ht="27" customHeight="1" x14ac:dyDescent="0.25">
      <c r="A5" s="31" t="s">
        <v>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s="4" customFormat="1" ht="19.5" customHeight="1" x14ac:dyDescent="0.25">
      <c r="A6" s="3">
        <v>1</v>
      </c>
      <c r="B6" s="11" t="s">
        <v>2</v>
      </c>
      <c r="C6" s="12">
        <v>277470</v>
      </c>
      <c r="D6" s="12">
        <v>258300</v>
      </c>
      <c r="E6" s="13">
        <v>3815.3705000000004</v>
      </c>
      <c r="F6" s="13">
        <v>4956.1445000000003</v>
      </c>
      <c r="G6" s="12">
        <v>242556</v>
      </c>
      <c r="H6" s="12">
        <v>296006</v>
      </c>
      <c r="I6" s="13">
        <v>3513.7059000000004</v>
      </c>
      <c r="J6" s="13">
        <v>5063.1244999999999</v>
      </c>
      <c r="K6" s="12">
        <v>246162</v>
      </c>
      <c r="L6" s="12">
        <v>288166</v>
      </c>
      <c r="M6" s="13">
        <v>3513.5189999999998</v>
      </c>
      <c r="N6" s="13">
        <v>5387.375</v>
      </c>
    </row>
    <row r="7" spans="1:14" s="4" customFormat="1" ht="19.5" customHeight="1" x14ac:dyDescent="0.25">
      <c r="A7" s="3">
        <v>2</v>
      </c>
      <c r="B7" s="14" t="s">
        <v>61</v>
      </c>
      <c r="C7" s="12">
        <v>195110</v>
      </c>
      <c r="D7" s="12">
        <v>157267</v>
      </c>
      <c r="E7" s="15">
        <v>15.188000000000001</v>
      </c>
      <c r="F7" s="15">
        <v>2372.7779999999998</v>
      </c>
      <c r="G7" s="12">
        <v>126861</v>
      </c>
      <c r="H7" s="12">
        <v>187467</v>
      </c>
      <c r="I7" s="13">
        <v>8.3480000000000008</v>
      </c>
      <c r="J7" s="13">
        <v>2601.4519999999993</v>
      </c>
      <c r="K7" s="12">
        <v>114770</v>
      </c>
      <c r="L7" s="12">
        <v>190632</v>
      </c>
      <c r="M7" s="13">
        <v>30.8</v>
      </c>
      <c r="N7" s="13">
        <v>2439.8339999999998</v>
      </c>
    </row>
    <row r="8" spans="1:14" s="4" customFormat="1" ht="19.5" customHeight="1" x14ac:dyDescent="0.25">
      <c r="A8" s="3">
        <v>3</v>
      </c>
      <c r="B8" s="11" t="s">
        <v>62</v>
      </c>
      <c r="C8" s="12">
        <v>51859</v>
      </c>
      <c r="D8" s="12">
        <v>46857</v>
      </c>
      <c r="E8" s="13">
        <v>36.235579999999999</v>
      </c>
      <c r="F8" s="13">
        <v>277.56453999999997</v>
      </c>
      <c r="G8" s="12">
        <v>45723</v>
      </c>
      <c r="H8" s="12">
        <v>62804</v>
      </c>
      <c r="I8" s="13">
        <v>36.429690000000001</v>
      </c>
      <c r="J8" s="13">
        <v>240.52780000000001</v>
      </c>
      <c r="K8" s="16">
        <v>43625</v>
      </c>
      <c r="L8" s="16">
        <v>61926</v>
      </c>
      <c r="M8" s="15">
        <v>73.061069999999987</v>
      </c>
      <c r="N8" s="15">
        <v>237.31105999999997</v>
      </c>
    </row>
    <row r="9" spans="1:14" s="4" customFormat="1" ht="19.5" customHeight="1" x14ac:dyDescent="0.25">
      <c r="A9" s="3">
        <v>4</v>
      </c>
      <c r="B9" s="11" t="s">
        <v>63</v>
      </c>
      <c r="C9" s="12">
        <v>382674</v>
      </c>
      <c r="D9" s="12">
        <v>351768</v>
      </c>
      <c r="E9" s="13">
        <v>454.56599999999997</v>
      </c>
      <c r="F9" s="13">
        <v>2954.3159999999998</v>
      </c>
      <c r="G9" s="12">
        <v>306043</v>
      </c>
      <c r="H9" s="12">
        <v>409479</v>
      </c>
      <c r="I9" s="13">
        <v>412.52800000000002</v>
      </c>
      <c r="J9" s="13">
        <v>2711.6970000000001</v>
      </c>
      <c r="K9" s="12">
        <v>298045</v>
      </c>
      <c r="L9" s="12">
        <v>382316</v>
      </c>
      <c r="M9" s="13">
        <v>383.14800000000002</v>
      </c>
      <c r="N9" s="13">
        <v>2755.7190000000001</v>
      </c>
    </row>
    <row r="10" spans="1:14" s="4" customFormat="1" ht="19.5" customHeight="1" x14ac:dyDescent="0.25">
      <c r="A10" s="3">
        <v>5</v>
      </c>
      <c r="B10" s="14" t="s">
        <v>64</v>
      </c>
      <c r="C10" s="12">
        <v>83029</v>
      </c>
      <c r="D10" s="12">
        <v>75637</v>
      </c>
      <c r="E10" s="15">
        <v>21.043500000000002</v>
      </c>
      <c r="F10" s="15">
        <v>692.44672000000003</v>
      </c>
      <c r="G10" s="12">
        <v>69013</v>
      </c>
      <c r="H10" s="12">
        <v>86866</v>
      </c>
      <c r="I10" s="13">
        <v>24.359870000000004</v>
      </c>
      <c r="J10" s="13">
        <v>615.68141000000003</v>
      </c>
      <c r="K10" s="12">
        <v>69414</v>
      </c>
      <c r="L10" s="12">
        <v>87384</v>
      </c>
      <c r="M10" s="13">
        <v>62.123199999999997</v>
      </c>
      <c r="N10" s="13">
        <v>650.49400000000003</v>
      </c>
    </row>
    <row r="11" spans="1:14" s="4" customFormat="1" ht="19.5" customHeight="1" x14ac:dyDescent="0.25">
      <c r="A11" s="3">
        <v>6</v>
      </c>
      <c r="B11" s="14" t="s">
        <v>43</v>
      </c>
      <c r="C11" s="12">
        <v>43515</v>
      </c>
      <c r="D11" s="12">
        <v>41474</v>
      </c>
      <c r="E11" s="15">
        <v>549.65499999999997</v>
      </c>
      <c r="F11" s="15">
        <v>728.11</v>
      </c>
      <c r="G11" s="12">
        <v>43658</v>
      </c>
      <c r="H11" s="12">
        <v>49062</v>
      </c>
      <c r="I11" s="13">
        <v>507.76100000000002</v>
      </c>
      <c r="J11" s="13">
        <v>699.61300000000006</v>
      </c>
      <c r="K11" s="12">
        <v>44000</v>
      </c>
      <c r="L11" s="12">
        <v>48524</v>
      </c>
      <c r="M11" s="13">
        <v>568.09400000000005</v>
      </c>
      <c r="N11" s="13">
        <v>710.01</v>
      </c>
    </row>
    <row r="12" spans="1:14" ht="31.5" customHeight="1" x14ac:dyDescent="0.25">
      <c r="A12" s="32" t="s">
        <v>3</v>
      </c>
      <c r="B12" s="32"/>
      <c r="C12" s="5">
        <f t="shared" ref="C12:N12" si="0">SUM(C6:C11)</f>
        <v>1033657</v>
      </c>
      <c r="D12" s="5">
        <f t="shared" si="0"/>
        <v>931303</v>
      </c>
      <c r="E12" s="6">
        <f t="shared" si="0"/>
        <v>4892.0585799999999</v>
      </c>
      <c r="F12" s="6">
        <f t="shared" si="0"/>
        <v>11981.359760000001</v>
      </c>
      <c r="G12" s="5">
        <f t="shared" si="0"/>
        <v>833854</v>
      </c>
      <c r="H12" s="5">
        <f t="shared" si="0"/>
        <v>1091684</v>
      </c>
      <c r="I12" s="6">
        <f t="shared" si="0"/>
        <v>4503.1324600000007</v>
      </c>
      <c r="J12" s="6">
        <f t="shared" si="0"/>
        <v>11932.095709999998</v>
      </c>
      <c r="K12" s="5">
        <f t="shared" si="0"/>
        <v>816016</v>
      </c>
      <c r="L12" s="5">
        <f t="shared" si="0"/>
        <v>1058948</v>
      </c>
      <c r="M12" s="6">
        <f t="shared" si="0"/>
        <v>4630.7452700000003</v>
      </c>
      <c r="N12" s="6">
        <f t="shared" si="0"/>
        <v>12180.743060000001</v>
      </c>
    </row>
    <row r="13" spans="1:14" ht="28.5" customHeight="1" x14ac:dyDescent="0.25">
      <c r="A13" s="33" t="s">
        <v>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14" ht="24.75" customHeight="1" x14ac:dyDescent="0.25">
      <c r="A14" s="10">
        <v>1</v>
      </c>
      <c r="B14" s="11" t="s">
        <v>5</v>
      </c>
      <c r="C14" s="12">
        <v>2665</v>
      </c>
      <c r="D14" s="12">
        <v>2549</v>
      </c>
      <c r="E14" s="13">
        <v>39.540999999999997</v>
      </c>
      <c r="F14" s="13">
        <v>99.965000000000003</v>
      </c>
      <c r="G14" s="12">
        <v>4253</v>
      </c>
      <c r="H14" s="12">
        <v>4428</v>
      </c>
      <c r="I14" s="13">
        <v>33.192999999999998</v>
      </c>
      <c r="J14" s="13">
        <v>170.679</v>
      </c>
      <c r="K14" s="12">
        <v>4963</v>
      </c>
      <c r="L14" s="12">
        <v>4895</v>
      </c>
      <c r="M14" s="13">
        <v>28.356999999999999</v>
      </c>
      <c r="N14" s="13">
        <v>217.02699999999999</v>
      </c>
    </row>
    <row r="15" spans="1:14" ht="31.5" customHeight="1" x14ac:dyDescent="0.25">
      <c r="A15" s="10">
        <v>2</v>
      </c>
      <c r="B15" s="14" t="s">
        <v>6</v>
      </c>
      <c r="C15" s="12">
        <v>0</v>
      </c>
      <c r="D15" s="12">
        <v>0</v>
      </c>
      <c r="E15" s="15">
        <v>9310.643</v>
      </c>
      <c r="F15" s="15">
        <v>8310.7479999999996</v>
      </c>
      <c r="G15" s="12">
        <v>0</v>
      </c>
      <c r="H15" s="12">
        <v>0</v>
      </c>
      <c r="I15" s="13">
        <v>9245.9079999999994</v>
      </c>
      <c r="J15" s="13">
        <v>8234.6779999999999</v>
      </c>
      <c r="K15" s="12">
        <v>0</v>
      </c>
      <c r="L15" s="12">
        <v>0</v>
      </c>
      <c r="M15" s="13">
        <v>8948.6010000000006</v>
      </c>
      <c r="N15" s="13">
        <v>8185.6490000000003</v>
      </c>
    </row>
    <row r="16" spans="1:14" ht="31.5" customHeight="1" x14ac:dyDescent="0.25">
      <c r="A16" s="10">
        <v>3</v>
      </c>
      <c r="B16" s="11" t="s">
        <v>7</v>
      </c>
      <c r="C16" s="12">
        <v>78862</v>
      </c>
      <c r="D16" s="12">
        <v>65715</v>
      </c>
      <c r="E16" s="13">
        <v>151.732</v>
      </c>
      <c r="F16" s="13">
        <v>1003.953</v>
      </c>
      <c r="G16" s="12">
        <v>71212</v>
      </c>
      <c r="H16" s="12">
        <v>76151</v>
      </c>
      <c r="I16" s="13">
        <v>57.412999999999997</v>
      </c>
      <c r="J16" s="13">
        <v>993.18299999999999</v>
      </c>
      <c r="K16" s="16">
        <v>66014</v>
      </c>
      <c r="L16" s="16">
        <v>72993</v>
      </c>
      <c r="M16" s="15">
        <v>81.042000000000002</v>
      </c>
      <c r="N16" s="15">
        <v>993.54499999999996</v>
      </c>
    </row>
    <row r="17" spans="1:15" ht="31.5" customHeight="1" x14ac:dyDescent="0.25">
      <c r="A17" s="10">
        <v>4</v>
      </c>
      <c r="B17" s="11" t="s">
        <v>73</v>
      </c>
      <c r="C17" s="12">
        <v>28449</v>
      </c>
      <c r="D17" s="12">
        <v>20874</v>
      </c>
      <c r="E17" s="13">
        <v>6.3570000000000002</v>
      </c>
      <c r="F17" s="13">
        <v>169.74199999999999</v>
      </c>
      <c r="G17" s="12">
        <v>23125</v>
      </c>
      <c r="H17" s="12">
        <v>32645</v>
      </c>
      <c r="I17" s="13">
        <v>20.997</v>
      </c>
      <c r="J17" s="13">
        <v>272.89</v>
      </c>
      <c r="K17" s="12">
        <v>15478</v>
      </c>
      <c r="L17" s="12">
        <v>26956</v>
      </c>
      <c r="M17" s="13">
        <v>20.908999999999999</v>
      </c>
      <c r="N17" s="13">
        <v>291.601</v>
      </c>
      <c r="O17" s="7"/>
    </row>
    <row r="18" spans="1:15" ht="31.5" customHeight="1" x14ac:dyDescent="0.25">
      <c r="A18" s="10">
        <v>5</v>
      </c>
      <c r="B18" s="11" t="s">
        <v>65</v>
      </c>
      <c r="C18" s="12">
        <v>31625</v>
      </c>
      <c r="D18" s="12">
        <v>37287</v>
      </c>
      <c r="E18" s="13">
        <v>71.986999999999995</v>
      </c>
      <c r="F18" s="13">
        <v>288.13799999999998</v>
      </c>
      <c r="G18" s="12">
        <v>32149</v>
      </c>
      <c r="H18" s="12">
        <v>36579</v>
      </c>
      <c r="I18" s="13">
        <v>71.454999999999998</v>
      </c>
      <c r="J18" s="13">
        <v>324.70299999999997</v>
      </c>
      <c r="K18" s="12">
        <v>29716</v>
      </c>
      <c r="L18" s="12">
        <v>34951</v>
      </c>
      <c r="M18" s="13">
        <v>40.585999999999999</v>
      </c>
      <c r="N18" s="13">
        <v>250.26900000000001</v>
      </c>
    </row>
    <row r="19" spans="1:15" ht="31.5" customHeight="1" x14ac:dyDescent="0.25">
      <c r="A19" s="10">
        <v>6</v>
      </c>
      <c r="B19" s="11" t="s">
        <v>49</v>
      </c>
      <c r="C19" s="16">
        <v>2177</v>
      </c>
      <c r="D19" s="16">
        <v>2908</v>
      </c>
      <c r="E19" s="13">
        <v>80.228999999999999</v>
      </c>
      <c r="F19" s="13">
        <v>227.96</v>
      </c>
      <c r="G19" s="12">
        <v>2603</v>
      </c>
      <c r="H19" s="12">
        <v>3001</v>
      </c>
      <c r="I19" s="13">
        <v>96.206999999999994</v>
      </c>
      <c r="J19" s="13">
        <v>213.15</v>
      </c>
      <c r="K19" s="12">
        <v>2610</v>
      </c>
      <c r="L19" s="12">
        <v>3170</v>
      </c>
      <c r="M19" s="13">
        <v>79.733999999999995</v>
      </c>
      <c r="N19" s="13">
        <v>191.40700000000001</v>
      </c>
    </row>
    <row r="20" spans="1:15" s="8" customFormat="1" ht="27.95" customHeight="1" x14ac:dyDescent="0.25">
      <c r="A20" s="10">
        <v>7</v>
      </c>
      <c r="B20" s="17" t="s">
        <v>82</v>
      </c>
      <c r="C20" s="16">
        <v>681</v>
      </c>
      <c r="D20" s="16">
        <v>572</v>
      </c>
      <c r="E20" s="13">
        <v>0.48</v>
      </c>
      <c r="F20" s="13">
        <v>7.133</v>
      </c>
      <c r="G20" s="12">
        <v>340</v>
      </c>
      <c r="H20" s="12">
        <v>541</v>
      </c>
      <c r="I20" s="13">
        <v>0.23200000000000001</v>
      </c>
      <c r="J20" s="13">
        <v>2.8170000000000002</v>
      </c>
      <c r="K20" s="12">
        <v>383</v>
      </c>
      <c r="L20" s="12">
        <v>384</v>
      </c>
      <c r="M20" s="13">
        <v>1.0999999999999999E-2</v>
      </c>
      <c r="N20" s="13">
        <v>2.0419999999999998</v>
      </c>
    </row>
    <row r="21" spans="1:15" s="8" customFormat="1" ht="27.95" customHeight="1" x14ac:dyDescent="0.25">
      <c r="A21" s="10">
        <v>8</v>
      </c>
      <c r="B21" s="14" t="s">
        <v>44</v>
      </c>
      <c r="C21" s="12">
        <v>11472</v>
      </c>
      <c r="D21" s="12">
        <v>12572</v>
      </c>
      <c r="E21" s="13">
        <v>192.958</v>
      </c>
      <c r="F21" s="13">
        <v>179.22300000000001</v>
      </c>
      <c r="G21" s="16">
        <v>10550</v>
      </c>
      <c r="H21" s="16">
        <v>14123</v>
      </c>
      <c r="I21" s="15">
        <v>277.32600000000002</v>
      </c>
      <c r="J21" s="15">
        <v>193.39400000000001</v>
      </c>
      <c r="K21" s="16">
        <v>11250</v>
      </c>
      <c r="L21" s="16">
        <v>13360</v>
      </c>
      <c r="M21" s="15">
        <v>275.02300000000002</v>
      </c>
      <c r="N21" s="15">
        <v>286.79300000000001</v>
      </c>
    </row>
    <row r="22" spans="1:15" s="8" customFormat="1" ht="27.95" customHeight="1" x14ac:dyDescent="0.25">
      <c r="A22" s="10">
        <v>9</v>
      </c>
      <c r="B22" s="11" t="s">
        <v>45</v>
      </c>
      <c r="C22" s="12">
        <v>21424</v>
      </c>
      <c r="D22" s="12">
        <v>21764</v>
      </c>
      <c r="E22" s="13">
        <v>929.38199999999995</v>
      </c>
      <c r="F22" s="13">
        <v>1093.4970000000001</v>
      </c>
      <c r="G22" s="12">
        <v>19311</v>
      </c>
      <c r="H22" s="12">
        <v>23732</v>
      </c>
      <c r="I22" s="13">
        <v>952.28</v>
      </c>
      <c r="J22" s="13">
        <v>1007.554</v>
      </c>
      <c r="K22" s="12">
        <v>20743</v>
      </c>
      <c r="L22" s="12">
        <v>23282</v>
      </c>
      <c r="M22" s="13">
        <v>1046.3019999999999</v>
      </c>
      <c r="N22" s="13">
        <v>1189.117</v>
      </c>
    </row>
    <row r="23" spans="1:15" s="8" customFormat="1" ht="27.75" customHeight="1" x14ac:dyDescent="0.25">
      <c r="A23" s="10">
        <v>10</v>
      </c>
      <c r="B23" s="11" t="s">
        <v>50</v>
      </c>
      <c r="C23" s="12">
        <v>5638</v>
      </c>
      <c r="D23" s="12">
        <v>5668</v>
      </c>
      <c r="E23" s="13">
        <v>54.316000000000003</v>
      </c>
      <c r="F23" s="13">
        <v>292.77</v>
      </c>
      <c r="G23" s="12">
        <v>4671</v>
      </c>
      <c r="H23" s="12">
        <v>5478</v>
      </c>
      <c r="I23" s="13">
        <v>50.411000000000001</v>
      </c>
      <c r="J23" s="13">
        <v>228.65899999999999</v>
      </c>
      <c r="K23" s="12">
        <v>4868</v>
      </c>
      <c r="L23" s="12">
        <v>5821</v>
      </c>
      <c r="M23" s="13">
        <v>36.164999999999999</v>
      </c>
      <c r="N23" s="13">
        <v>355.05</v>
      </c>
    </row>
    <row r="24" spans="1:15" s="8" customFormat="1" ht="27.75" customHeight="1" x14ac:dyDescent="0.25">
      <c r="A24" s="10">
        <v>11</v>
      </c>
      <c r="B24" s="11" t="s">
        <v>58</v>
      </c>
      <c r="C24" s="12">
        <v>424</v>
      </c>
      <c r="D24" s="12">
        <v>647</v>
      </c>
      <c r="E24" s="13">
        <v>0</v>
      </c>
      <c r="F24" s="13">
        <v>5.851</v>
      </c>
      <c r="G24" s="12">
        <v>273</v>
      </c>
      <c r="H24" s="12">
        <v>354</v>
      </c>
      <c r="I24" s="13">
        <v>0.216</v>
      </c>
      <c r="J24" s="13">
        <v>6.9950000000000001</v>
      </c>
      <c r="K24" s="12">
        <v>276</v>
      </c>
      <c r="L24" s="12">
        <v>368</v>
      </c>
      <c r="M24" s="13">
        <v>0</v>
      </c>
      <c r="N24" s="13">
        <v>7.2560000000000002</v>
      </c>
    </row>
    <row r="25" spans="1:15" s="8" customFormat="1" ht="27.75" customHeight="1" x14ac:dyDescent="0.25">
      <c r="A25" s="10">
        <v>12</v>
      </c>
      <c r="B25" s="17" t="s">
        <v>74</v>
      </c>
      <c r="C25" s="16">
        <v>2520</v>
      </c>
      <c r="D25" s="16">
        <v>2627</v>
      </c>
      <c r="E25" s="13">
        <v>2.3860999999999999</v>
      </c>
      <c r="F25" s="13">
        <v>111.79780000000001</v>
      </c>
      <c r="G25" s="12">
        <v>2332</v>
      </c>
      <c r="H25" s="12">
        <v>2822</v>
      </c>
      <c r="I25" s="13">
        <v>0</v>
      </c>
      <c r="J25" s="13">
        <v>65.043400000000005</v>
      </c>
      <c r="K25" s="12">
        <v>2292</v>
      </c>
      <c r="L25" s="12">
        <v>2534</v>
      </c>
      <c r="M25" s="13">
        <v>0.47110000000000002</v>
      </c>
      <c r="N25" s="13">
        <v>106.0145</v>
      </c>
    </row>
    <row r="26" spans="1:15" s="8" customFormat="1" ht="27.75" customHeight="1" x14ac:dyDescent="0.25">
      <c r="A26" s="10">
        <v>13</v>
      </c>
      <c r="B26" s="11" t="s">
        <v>48</v>
      </c>
      <c r="C26" s="12">
        <v>1847</v>
      </c>
      <c r="D26" s="12">
        <v>3095</v>
      </c>
      <c r="E26" s="13">
        <v>228.52199999999999</v>
      </c>
      <c r="F26" s="13">
        <v>259.22199999999998</v>
      </c>
      <c r="G26" s="12">
        <v>1640</v>
      </c>
      <c r="H26" s="12">
        <v>3736</v>
      </c>
      <c r="I26" s="13">
        <v>268.637</v>
      </c>
      <c r="J26" s="13">
        <v>206.29599999999999</v>
      </c>
      <c r="K26" s="12">
        <v>1703</v>
      </c>
      <c r="L26" s="12">
        <v>2774</v>
      </c>
      <c r="M26" s="13">
        <v>268.02199999999999</v>
      </c>
      <c r="N26" s="13">
        <v>278.08999999999997</v>
      </c>
    </row>
    <row r="27" spans="1:15" s="8" customFormat="1" ht="27.75" customHeight="1" x14ac:dyDescent="0.25">
      <c r="A27" s="10">
        <v>14</v>
      </c>
      <c r="B27" s="11" t="s">
        <v>75</v>
      </c>
      <c r="C27" s="12">
        <v>7033</v>
      </c>
      <c r="D27" s="12">
        <v>7679</v>
      </c>
      <c r="E27" s="13">
        <v>165.46529999999998</v>
      </c>
      <c r="F27" s="13">
        <v>21.242999999999999</v>
      </c>
      <c r="G27" s="12">
        <v>5181</v>
      </c>
      <c r="H27" s="12">
        <v>8680</v>
      </c>
      <c r="I27" s="13">
        <v>144.2243</v>
      </c>
      <c r="J27" s="13">
        <v>35.111499999999999</v>
      </c>
      <c r="K27" s="12">
        <v>5626</v>
      </c>
      <c r="L27" s="12">
        <v>5875</v>
      </c>
      <c r="M27" s="13">
        <v>116.83150000000001</v>
      </c>
      <c r="N27" s="13">
        <v>124.9576</v>
      </c>
    </row>
    <row r="28" spans="1:15" s="8" customFormat="1" ht="27.75" customHeight="1" x14ac:dyDescent="0.25">
      <c r="A28" s="10">
        <v>15</v>
      </c>
      <c r="B28" s="11" t="s">
        <v>76</v>
      </c>
      <c r="C28" s="12">
        <v>0</v>
      </c>
      <c r="D28" s="12">
        <v>0</v>
      </c>
      <c r="E28" s="13">
        <v>0</v>
      </c>
      <c r="F28" s="13">
        <v>26.077000000000002</v>
      </c>
      <c r="G28" s="12">
        <v>42</v>
      </c>
      <c r="H28" s="12">
        <v>5</v>
      </c>
      <c r="I28" s="13">
        <v>0.64100000000000001</v>
      </c>
      <c r="J28" s="13">
        <v>44.191000000000003</v>
      </c>
      <c r="K28" s="12">
        <v>71</v>
      </c>
      <c r="L28" s="12">
        <v>0</v>
      </c>
      <c r="M28" s="13">
        <v>0.97299999999999998</v>
      </c>
      <c r="N28" s="13">
        <v>71.150999999999996</v>
      </c>
    </row>
    <row r="29" spans="1:15" s="8" customFormat="1" ht="27.75" customHeight="1" x14ac:dyDescent="0.25">
      <c r="A29" s="10">
        <v>16</v>
      </c>
      <c r="B29" s="11" t="s">
        <v>89</v>
      </c>
      <c r="C29" s="12">
        <v>0</v>
      </c>
      <c r="D29" s="12">
        <v>0</v>
      </c>
      <c r="E29" s="13">
        <v>0</v>
      </c>
      <c r="F29" s="13">
        <v>0</v>
      </c>
      <c r="G29" s="12">
        <v>0</v>
      </c>
      <c r="H29" s="12">
        <v>0</v>
      </c>
      <c r="I29" s="13">
        <v>0</v>
      </c>
      <c r="J29" s="13">
        <v>0</v>
      </c>
      <c r="K29" s="12">
        <v>461</v>
      </c>
      <c r="L29" s="12">
        <v>420</v>
      </c>
      <c r="M29" s="13">
        <v>0</v>
      </c>
      <c r="N29" s="13">
        <v>0</v>
      </c>
    </row>
    <row r="30" spans="1:15" s="8" customFormat="1" ht="27.75" customHeight="1" x14ac:dyDescent="0.25">
      <c r="A30" s="10">
        <v>17</v>
      </c>
      <c r="B30" s="11" t="s">
        <v>8</v>
      </c>
      <c r="C30" s="12">
        <v>7501</v>
      </c>
      <c r="D30" s="12">
        <v>8755</v>
      </c>
      <c r="E30" s="13">
        <v>1.873</v>
      </c>
      <c r="F30" s="13">
        <v>60.064</v>
      </c>
      <c r="G30" s="12">
        <v>6791</v>
      </c>
      <c r="H30" s="12">
        <v>9073</v>
      </c>
      <c r="I30" s="13">
        <v>3.681</v>
      </c>
      <c r="J30" s="13">
        <v>113.417</v>
      </c>
      <c r="K30" s="12">
        <v>8472</v>
      </c>
      <c r="L30" s="12">
        <v>6838</v>
      </c>
      <c r="M30" s="13">
        <v>1.353</v>
      </c>
      <c r="N30" s="13">
        <v>128.78</v>
      </c>
    </row>
    <row r="31" spans="1:15" s="8" customFormat="1" ht="27.75" customHeight="1" x14ac:dyDescent="0.25">
      <c r="A31" s="10">
        <v>18</v>
      </c>
      <c r="B31" s="11" t="s">
        <v>83</v>
      </c>
      <c r="C31" s="12">
        <v>39010</v>
      </c>
      <c r="D31" s="12">
        <v>37214</v>
      </c>
      <c r="E31" s="13">
        <v>1446.43</v>
      </c>
      <c r="F31" s="13">
        <v>2356.09</v>
      </c>
      <c r="G31" s="12">
        <v>31771</v>
      </c>
      <c r="H31" s="12">
        <v>45134</v>
      </c>
      <c r="I31" s="13">
        <v>1298.99</v>
      </c>
      <c r="J31" s="13">
        <v>2443.27</v>
      </c>
      <c r="K31" s="12">
        <v>29272</v>
      </c>
      <c r="L31" s="12">
        <v>43682</v>
      </c>
      <c r="M31" s="15">
        <v>1380.28</v>
      </c>
      <c r="N31" s="15">
        <v>2671.88</v>
      </c>
    </row>
    <row r="32" spans="1:15" s="8" customFormat="1" ht="27.75" customHeight="1" x14ac:dyDescent="0.25">
      <c r="A32" s="10">
        <v>19</v>
      </c>
      <c r="B32" s="11" t="s">
        <v>84</v>
      </c>
      <c r="C32" s="12">
        <v>337</v>
      </c>
      <c r="D32" s="12">
        <v>305</v>
      </c>
      <c r="E32" s="13">
        <v>0</v>
      </c>
      <c r="F32" s="13">
        <v>0</v>
      </c>
      <c r="G32" s="12">
        <v>310</v>
      </c>
      <c r="H32" s="12">
        <v>239</v>
      </c>
      <c r="I32" s="13">
        <v>0</v>
      </c>
      <c r="J32" s="13">
        <v>0</v>
      </c>
      <c r="K32" s="12">
        <v>452</v>
      </c>
      <c r="L32" s="12">
        <v>374</v>
      </c>
      <c r="M32" s="13">
        <v>0</v>
      </c>
      <c r="N32" s="13">
        <v>0</v>
      </c>
    </row>
    <row r="33" spans="1:14" s="8" customFormat="1" ht="27.75" customHeight="1" x14ac:dyDescent="0.25">
      <c r="A33" s="10">
        <v>20</v>
      </c>
      <c r="B33" s="11" t="s">
        <v>9</v>
      </c>
      <c r="C33" s="12">
        <v>2095</v>
      </c>
      <c r="D33" s="12">
        <v>5159</v>
      </c>
      <c r="E33" s="13">
        <v>5948.1342999999988</v>
      </c>
      <c r="F33" s="13">
        <v>2558.9179599999998</v>
      </c>
      <c r="G33" s="16">
        <v>2039</v>
      </c>
      <c r="H33" s="16">
        <v>6207</v>
      </c>
      <c r="I33" s="13">
        <v>4854.3220000000001</v>
      </c>
      <c r="J33" s="13">
        <v>1627.0073400000001</v>
      </c>
      <c r="K33" s="12">
        <v>4083</v>
      </c>
      <c r="L33" s="12">
        <v>4912</v>
      </c>
      <c r="M33" s="13">
        <v>5932.9541000000008</v>
      </c>
      <c r="N33" s="13">
        <v>2801.5238800000002</v>
      </c>
    </row>
    <row r="34" spans="1:14" s="8" customFormat="1" ht="27.75" customHeight="1" x14ac:dyDescent="0.25">
      <c r="A34" s="10">
        <v>21</v>
      </c>
      <c r="B34" s="11" t="s">
        <v>66</v>
      </c>
      <c r="C34" s="12">
        <v>0</v>
      </c>
      <c r="D34" s="12">
        <v>0</v>
      </c>
      <c r="E34" s="13">
        <v>193.75800000000001</v>
      </c>
      <c r="F34" s="13">
        <v>227.33199999999999</v>
      </c>
      <c r="G34" s="16">
        <v>0</v>
      </c>
      <c r="H34" s="16">
        <v>0</v>
      </c>
      <c r="I34" s="13">
        <v>166.02199999999999</v>
      </c>
      <c r="J34" s="13">
        <v>221.13900000000001</v>
      </c>
      <c r="K34" s="12">
        <v>0</v>
      </c>
      <c r="L34" s="12">
        <v>0</v>
      </c>
      <c r="M34" s="13">
        <v>248.16300000000001</v>
      </c>
      <c r="N34" s="13">
        <v>252.137</v>
      </c>
    </row>
    <row r="35" spans="1:14" s="8" customFormat="1" ht="27.75" customHeight="1" x14ac:dyDescent="0.25">
      <c r="A35" s="10">
        <v>22</v>
      </c>
      <c r="B35" s="14" t="s">
        <v>10</v>
      </c>
      <c r="C35" s="12">
        <v>1859</v>
      </c>
      <c r="D35" s="12">
        <v>1497</v>
      </c>
      <c r="E35" s="13">
        <v>0.23100000000000001</v>
      </c>
      <c r="F35" s="13">
        <v>7.3769999999999998</v>
      </c>
      <c r="G35" s="12">
        <v>2235</v>
      </c>
      <c r="H35" s="12">
        <v>1780</v>
      </c>
      <c r="I35" s="13">
        <v>0.43</v>
      </c>
      <c r="J35" s="13">
        <v>5.0166000000000004</v>
      </c>
      <c r="K35" s="12">
        <v>2293</v>
      </c>
      <c r="L35" s="12">
        <v>2298</v>
      </c>
      <c r="M35" s="13">
        <v>0.57099999999999995</v>
      </c>
      <c r="N35" s="13">
        <v>5.4676</v>
      </c>
    </row>
    <row r="36" spans="1:14" s="8" customFormat="1" ht="27.95" customHeight="1" x14ac:dyDescent="0.25">
      <c r="A36" s="10">
        <v>23</v>
      </c>
      <c r="B36" s="11" t="s">
        <v>60</v>
      </c>
      <c r="C36" s="12">
        <v>1518</v>
      </c>
      <c r="D36" s="12">
        <v>2468</v>
      </c>
      <c r="E36" s="13">
        <v>167.46600000000001</v>
      </c>
      <c r="F36" s="13">
        <v>217.87899999999999</v>
      </c>
      <c r="G36" s="12">
        <v>1817</v>
      </c>
      <c r="H36" s="12">
        <v>2356</v>
      </c>
      <c r="I36" s="13">
        <v>132.048</v>
      </c>
      <c r="J36" s="13">
        <v>126.605</v>
      </c>
      <c r="K36" s="12">
        <v>1393</v>
      </c>
      <c r="L36" s="12">
        <v>2457</v>
      </c>
      <c r="M36" s="13">
        <v>37.65</v>
      </c>
      <c r="N36" s="13">
        <v>82.22</v>
      </c>
    </row>
    <row r="37" spans="1:14" s="8" customFormat="1" ht="27.95" customHeight="1" x14ac:dyDescent="0.25">
      <c r="A37" s="10">
        <v>24</v>
      </c>
      <c r="B37" s="11" t="s">
        <v>39</v>
      </c>
      <c r="C37" s="12">
        <v>248504</v>
      </c>
      <c r="D37" s="12">
        <v>208833</v>
      </c>
      <c r="E37" s="13">
        <v>5704.8296319999999</v>
      </c>
      <c r="F37" s="13">
        <v>8201.6905370000004</v>
      </c>
      <c r="G37" s="12">
        <v>155041</v>
      </c>
      <c r="H37" s="12">
        <v>256256</v>
      </c>
      <c r="I37" s="13">
        <v>5362.9065300000002</v>
      </c>
      <c r="J37" s="13">
        <v>9674.4637270000003</v>
      </c>
      <c r="K37" s="12">
        <v>157916</v>
      </c>
      <c r="L37" s="12">
        <v>249101</v>
      </c>
      <c r="M37" s="13">
        <v>5043.0598110000001</v>
      </c>
      <c r="N37" s="13">
        <v>10194.106514000001</v>
      </c>
    </row>
    <row r="38" spans="1:14" s="8" customFormat="1" ht="27.95" customHeight="1" x14ac:dyDescent="0.25">
      <c r="A38" s="10">
        <v>25</v>
      </c>
      <c r="B38" s="17" t="s">
        <v>40</v>
      </c>
      <c r="C38" s="12">
        <v>14448</v>
      </c>
      <c r="D38" s="12">
        <v>14667</v>
      </c>
      <c r="E38" s="13">
        <v>503.733</v>
      </c>
      <c r="F38" s="13">
        <v>1183.972</v>
      </c>
      <c r="G38" s="16">
        <v>13689</v>
      </c>
      <c r="H38" s="16">
        <v>17325</v>
      </c>
      <c r="I38" s="13">
        <v>247.739</v>
      </c>
      <c r="J38" s="13">
        <v>967.44299999999998</v>
      </c>
      <c r="K38" s="12">
        <v>12677</v>
      </c>
      <c r="L38" s="12">
        <v>16467</v>
      </c>
      <c r="M38" s="13">
        <v>276.51299999999998</v>
      </c>
      <c r="N38" s="13">
        <v>1213.7650000000001</v>
      </c>
    </row>
    <row r="39" spans="1:14" s="8" customFormat="1" ht="27.95" customHeight="1" x14ac:dyDescent="0.25">
      <c r="A39" s="10">
        <v>26</v>
      </c>
      <c r="B39" s="14" t="s">
        <v>11</v>
      </c>
      <c r="C39" s="12">
        <v>57534</v>
      </c>
      <c r="D39" s="12">
        <v>47690</v>
      </c>
      <c r="E39" s="13">
        <v>1373.7570000000001</v>
      </c>
      <c r="F39" s="13">
        <v>2301.5949999999998</v>
      </c>
      <c r="G39" s="12">
        <v>42565</v>
      </c>
      <c r="H39" s="12">
        <v>55777</v>
      </c>
      <c r="I39" s="13">
        <v>1035.4559999999999</v>
      </c>
      <c r="J39" s="13">
        <v>1788.2085</v>
      </c>
      <c r="K39" s="12">
        <v>48467</v>
      </c>
      <c r="L39" s="12">
        <v>62252</v>
      </c>
      <c r="M39" s="13">
        <v>1301.0092</v>
      </c>
      <c r="N39" s="13">
        <v>2235.0475000000001</v>
      </c>
    </row>
    <row r="40" spans="1:14" s="8" customFormat="1" ht="27.95" customHeight="1" x14ac:dyDescent="0.25">
      <c r="A40" s="10">
        <v>27</v>
      </c>
      <c r="B40" s="11" t="s">
        <v>12</v>
      </c>
      <c r="C40" s="12">
        <v>0</v>
      </c>
      <c r="D40" s="12">
        <v>0</v>
      </c>
      <c r="E40" s="13">
        <v>1458.653</v>
      </c>
      <c r="F40" s="13">
        <v>4447.076</v>
      </c>
      <c r="G40" s="12">
        <v>0</v>
      </c>
      <c r="H40" s="12">
        <v>0</v>
      </c>
      <c r="I40" s="13">
        <v>1503.6990000000001</v>
      </c>
      <c r="J40" s="13">
        <v>3055.748</v>
      </c>
      <c r="K40" s="12">
        <v>0</v>
      </c>
      <c r="L40" s="12">
        <v>0</v>
      </c>
      <c r="M40" s="13">
        <v>1361.4880000000001</v>
      </c>
      <c r="N40" s="13">
        <v>3981.5630000000001</v>
      </c>
    </row>
    <row r="41" spans="1:14" s="8" customFormat="1" ht="27.95" customHeight="1" x14ac:dyDescent="0.25">
      <c r="A41" s="10">
        <v>28</v>
      </c>
      <c r="B41" s="11" t="s">
        <v>67</v>
      </c>
      <c r="C41" s="12">
        <v>9145</v>
      </c>
      <c r="D41" s="12">
        <v>8426</v>
      </c>
      <c r="E41" s="13">
        <v>400.95299999999997</v>
      </c>
      <c r="F41" s="13">
        <v>475.48700000000002</v>
      </c>
      <c r="G41" s="12">
        <v>6295</v>
      </c>
      <c r="H41" s="12">
        <v>9939</v>
      </c>
      <c r="I41" s="13">
        <v>326.84199999999998</v>
      </c>
      <c r="J41" s="13">
        <v>417.053</v>
      </c>
      <c r="K41" s="12">
        <v>6010</v>
      </c>
      <c r="L41" s="12">
        <v>7793</v>
      </c>
      <c r="M41" s="13">
        <v>378.541</v>
      </c>
      <c r="N41" s="13">
        <v>328.38299999999998</v>
      </c>
    </row>
    <row r="42" spans="1:14" s="8" customFormat="1" ht="27.95" customHeight="1" x14ac:dyDescent="0.25">
      <c r="A42" s="10">
        <v>29</v>
      </c>
      <c r="B42" s="11" t="s">
        <v>54</v>
      </c>
      <c r="C42" s="12">
        <v>21907</v>
      </c>
      <c r="D42" s="12">
        <v>17640</v>
      </c>
      <c r="E42" s="13">
        <v>21.488</v>
      </c>
      <c r="F42" s="13">
        <v>225.37100000000001</v>
      </c>
      <c r="G42" s="12">
        <v>16670</v>
      </c>
      <c r="H42" s="12">
        <v>22387</v>
      </c>
      <c r="I42" s="13">
        <v>24.79</v>
      </c>
      <c r="J42" s="13">
        <v>168.13800000000001</v>
      </c>
      <c r="K42" s="12">
        <v>16451</v>
      </c>
      <c r="L42" s="12">
        <v>21099</v>
      </c>
      <c r="M42" s="15">
        <v>22.106999999999999</v>
      </c>
      <c r="N42" s="15">
        <v>137.46899999999999</v>
      </c>
    </row>
    <row r="43" spans="1:14" s="8" customFormat="1" ht="27.95" customHeight="1" x14ac:dyDescent="0.25">
      <c r="A43" s="10">
        <v>30</v>
      </c>
      <c r="B43" s="11" t="s">
        <v>68</v>
      </c>
      <c r="C43" s="12">
        <v>11989</v>
      </c>
      <c r="D43" s="12">
        <v>12396</v>
      </c>
      <c r="E43" s="13">
        <v>7.2880000000000003</v>
      </c>
      <c r="F43" s="13">
        <v>75.191000000000003</v>
      </c>
      <c r="G43" s="12">
        <v>5921</v>
      </c>
      <c r="H43" s="12">
        <v>15459</v>
      </c>
      <c r="I43" s="13">
        <v>10.342000000000001</v>
      </c>
      <c r="J43" s="13">
        <v>101.42400000000001</v>
      </c>
      <c r="K43" s="12">
        <v>5863</v>
      </c>
      <c r="L43" s="12">
        <v>14704</v>
      </c>
      <c r="M43" s="15">
        <v>15.093999999999999</v>
      </c>
      <c r="N43" s="15">
        <v>97.299000000000007</v>
      </c>
    </row>
    <row r="44" spans="1:14" s="8" customFormat="1" ht="27.95" customHeight="1" x14ac:dyDescent="0.25">
      <c r="A44" s="10">
        <v>31</v>
      </c>
      <c r="B44" s="11" t="s">
        <v>41</v>
      </c>
      <c r="C44" s="12">
        <v>37659</v>
      </c>
      <c r="D44" s="12">
        <v>37884</v>
      </c>
      <c r="E44" s="13">
        <v>32.784999999999997</v>
      </c>
      <c r="F44" s="13">
        <v>492.94900000000001</v>
      </c>
      <c r="G44" s="12">
        <v>25870</v>
      </c>
      <c r="H44" s="12">
        <v>51573</v>
      </c>
      <c r="I44" s="13">
        <v>17.603999999999999</v>
      </c>
      <c r="J44" s="13">
        <v>409.57900000000001</v>
      </c>
      <c r="K44" s="12">
        <v>27282</v>
      </c>
      <c r="L44" s="12">
        <v>49896</v>
      </c>
      <c r="M44" s="15">
        <v>14.497</v>
      </c>
      <c r="N44" s="15">
        <v>389.05399999999997</v>
      </c>
    </row>
    <row r="45" spans="1:14" s="8" customFormat="1" ht="27.95" customHeight="1" x14ac:dyDescent="0.25">
      <c r="A45" s="10">
        <v>32</v>
      </c>
      <c r="B45" s="11" t="s">
        <v>13</v>
      </c>
      <c r="C45" s="12"/>
      <c r="D45" s="12"/>
      <c r="E45" s="13">
        <v>0</v>
      </c>
      <c r="F45" s="13">
        <v>0</v>
      </c>
      <c r="G45" s="12">
        <v>376</v>
      </c>
      <c r="H45" s="12">
        <v>312</v>
      </c>
      <c r="I45" s="13">
        <v>0.218</v>
      </c>
      <c r="J45" s="13">
        <v>7.5590000000000002</v>
      </c>
      <c r="K45" s="12">
        <v>520</v>
      </c>
      <c r="L45" s="12">
        <v>772</v>
      </c>
      <c r="M45" s="15">
        <v>4.4619999999999997</v>
      </c>
      <c r="N45" s="15">
        <v>2.4510000000000001</v>
      </c>
    </row>
    <row r="46" spans="1:14" s="8" customFormat="1" ht="27.95" customHeight="1" x14ac:dyDescent="0.25">
      <c r="A46" s="10">
        <v>33</v>
      </c>
      <c r="B46" s="11" t="s">
        <v>14</v>
      </c>
      <c r="C46" s="12">
        <v>2859</v>
      </c>
      <c r="D46" s="12">
        <v>2585</v>
      </c>
      <c r="E46" s="13">
        <v>0</v>
      </c>
      <c r="F46" s="13">
        <v>0.29699999999999999</v>
      </c>
      <c r="G46" s="12">
        <v>2688</v>
      </c>
      <c r="H46" s="12">
        <v>2643</v>
      </c>
      <c r="I46" s="13">
        <v>0</v>
      </c>
      <c r="J46" s="13">
        <v>1.81</v>
      </c>
      <c r="K46" s="12">
        <v>2589</v>
      </c>
      <c r="L46" s="12">
        <v>3057</v>
      </c>
      <c r="M46" s="15">
        <v>0</v>
      </c>
      <c r="N46" s="15">
        <v>3.782</v>
      </c>
    </row>
    <row r="47" spans="1:14" s="8" customFormat="1" ht="27.95" customHeight="1" x14ac:dyDescent="0.25">
      <c r="A47" s="10">
        <v>34</v>
      </c>
      <c r="B47" s="11" t="s">
        <v>15</v>
      </c>
      <c r="C47" s="12">
        <v>6018</v>
      </c>
      <c r="D47" s="12">
        <v>5635</v>
      </c>
      <c r="E47" s="13">
        <v>0.16</v>
      </c>
      <c r="F47" s="13">
        <v>94.492000000000004</v>
      </c>
      <c r="G47" s="12">
        <v>3419</v>
      </c>
      <c r="H47" s="12">
        <v>4814</v>
      </c>
      <c r="I47" s="13">
        <v>0.38100000000000001</v>
      </c>
      <c r="J47" s="13">
        <v>621.71500000000003</v>
      </c>
      <c r="K47" s="12">
        <v>3508</v>
      </c>
      <c r="L47" s="12">
        <v>3447</v>
      </c>
      <c r="M47" s="15">
        <v>6.5000000000000002E-2</v>
      </c>
      <c r="N47" s="15">
        <v>108.33799999999999</v>
      </c>
    </row>
    <row r="48" spans="1:14" s="8" customFormat="1" ht="27.95" customHeight="1" x14ac:dyDescent="0.25">
      <c r="A48" s="10">
        <v>35</v>
      </c>
      <c r="B48" s="11" t="s">
        <v>16</v>
      </c>
      <c r="C48" s="12">
        <v>1814</v>
      </c>
      <c r="D48" s="12">
        <v>2317</v>
      </c>
      <c r="E48" s="13">
        <v>250.13</v>
      </c>
      <c r="F48" s="13">
        <v>195.905</v>
      </c>
      <c r="G48" s="12">
        <v>1571</v>
      </c>
      <c r="H48" s="12">
        <v>2957</v>
      </c>
      <c r="I48" s="13">
        <v>237.89699999999999</v>
      </c>
      <c r="J48" s="13">
        <v>199.672</v>
      </c>
      <c r="K48" s="12">
        <v>1497</v>
      </c>
      <c r="L48" s="12">
        <v>2373</v>
      </c>
      <c r="M48" s="15">
        <v>289.64999999999998</v>
      </c>
      <c r="N48" s="15">
        <v>154.613</v>
      </c>
    </row>
    <row r="49" spans="1:14" s="8" customFormat="1" ht="27.95" customHeight="1" x14ac:dyDescent="0.25">
      <c r="A49" s="10">
        <v>36</v>
      </c>
      <c r="B49" s="11" t="s">
        <v>59</v>
      </c>
      <c r="C49" s="12">
        <v>17723</v>
      </c>
      <c r="D49" s="12">
        <v>17858</v>
      </c>
      <c r="E49" s="13">
        <v>15.952</v>
      </c>
      <c r="F49" s="13">
        <v>215.68700000000001</v>
      </c>
      <c r="G49" s="12">
        <v>12318</v>
      </c>
      <c r="H49" s="12">
        <v>20113</v>
      </c>
      <c r="I49" s="13">
        <v>33.182000000000002</v>
      </c>
      <c r="J49" s="13">
        <v>239.38900000000001</v>
      </c>
      <c r="K49" s="12">
        <v>12807</v>
      </c>
      <c r="L49" s="12">
        <v>18140</v>
      </c>
      <c r="M49" s="15">
        <v>38.136000000000003</v>
      </c>
      <c r="N49" s="15">
        <v>237.98699999999999</v>
      </c>
    </row>
    <row r="50" spans="1:14" s="8" customFormat="1" ht="27.95" customHeight="1" x14ac:dyDescent="0.25">
      <c r="A50" s="10">
        <v>37</v>
      </c>
      <c r="B50" s="11" t="s">
        <v>17</v>
      </c>
      <c r="C50" s="12">
        <v>5212</v>
      </c>
      <c r="D50" s="12">
        <v>5517</v>
      </c>
      <c r="E50" s="13">
        <v>1.393</v>
      </c>
      <c r="F50" s="13">
        <v>20.946000000000002</v>
      </c>
      <c r="G50" s="12">
        <v>4520</v>
      </c>
      <c r="H50" s="12">
        <v>5820</v>
      </c>
      <c r="I50" s="13">
        <v>0.89100000000000001</v>
      </c>
      <c r="J50" s="13">
        <v>5.056</v>
      </c>
      <c r="K50" s="12">
        <v>4612</v>
      </c>
      <c r="L50" s="12">
        <v>4678</v>
      </c>
      <c r="M50" s="15">
        <v>0.66400000000000003</v>
      </c>
      <c r="N50" s="15">
        <v>3.7719999999999998</v>
      </c>
    </row>
    <row r="51" spans="1:14" s="8" customFormat="1" ht="27.95" customHeight="1" x14ac:dyDescent="0.25">
      <c r="A51" s="10">
        <v>38</v>
      </c>
      <c r="B51" s="11" t="s">
        <v>46</v>
      </c>
      <c r="C51" s="12">
        <v>28140</v>
      </c>
      <c r="D51" s="12">
        <v>27517</v>
      </c>
      <c r="E51" s="13">
        <v>1005.408</v>
      </c>
      <c r="F51" s="13">
        <v>1143.0509999999999</v>
      </c>
      <c r="G51" s="12">
        <v>22338</v>
      </c>
      <c r="H51" s="12">
        <v>27902</v>
      </c>
      <c r="I51" s="13">
        <v>908.10299999999995</v>
      </c>
      <c r="J51" s="13">
        <v>921.36199999999997</v>
      </c>
      <c r="K51" s="12">
        <v>22869</v>
      </c>
      <c r="L51" s="12">
        <v>26371</v>
      </c>
      <c r="M51" s="15">
        <v>1003.593</v>
      </c>
      <c r="N51" s="15">
        <v>1031.4770000000001</v>
      </c>
    </row>
    <row r="52" spans="1:14" s="8" customFormat="1" ht="27.95" customHeight="1" x14ac:dyDescent="0.25">
      <c r="A52" s="10">
        <v>39</v>
      </c>
      <c r="B52" s="11" t="s">
        <v>18</v>
      </c>
      <c r="C52" s="12">
        <v>948</v>
      </c>
      <c r="D52" s="12">
        <v>1717</v>
      </c>
      <c r="E52" s="13">
        <v>359.33199999999999</v>
      </c>
      <c r="F52" s="13">
        <v>470.46699999999998</v>
      </c>
      <c r="G52" s="12">
        <v>923</v>
      </c>
      <c r="H52" s="12">
        <v>2177</v>
      </c>
      <c r="I52" s="13">
        <v>432.58699999999999</v>
      </c>
      <c r="J52" s="13">
        <v>454.44299999999998</v>
      </c>
      <c r="K52" s="12">
        <v>1145</v>
      </c>
      <c r="L52" s="12">
        <v>1289</v>
      </c>
      <c r="M52" s="15">
        <v>479.45229999999998</v>
      </c>
      <c r="N52" s="15">
        <v>537.38553000000002</v>
      </c>
    </row>
    <row r="53" spans="1:14" s="8" customFormat="1" ht="27.95" customHeight="1" x14ac:dyDescent="0.25">
      <c r="A53" s="10">
        <v>40</v>
      </c>
      <c r="B53" s="11" t="s">
        <v>51</v>
      </c>
      <c r="C53" s="12">
        <v>21186</v>
      </c>
      <c r="D53" s="12">
        <v>19115</v>
      </c>
      <c r="E53" s="13">
        <v>0</v>
      </c>
      <c r="F53" s="13">
        <v>885.68600000000004</v>
      </c>
      <c r="G53" s="12">
        <v>15081</v>
      </c>
      <c r="H53" s="12">
        <v>25013</v>
      </c>
      <c r="I53" s="13">
        <v>0</v>
      </c>
      <c r="J53" s="13">
        <v>1010.429</v>
      </c>
      <c r="K53" s="12">
        <v>10427</v>
      </c>
      <c r="L53" s="12">
        <v>19913</v>
      </c>
      <c r="M53" s="13">
        <v>0</v>
      </c>
      <c r="N53" s="13">
        <v>981.30100000000004</v>
      </c>
    </row>
    <row r="54" spans="1:14" s="8" customFormat="1" ht="27.95" customHeight="1" x14ac:dyDescent="0.25">
      <c r="A54" s="10">
        <v>41</v>
      </c>
      <c r="B54" s="11" t="s">
        <v>52</v>
      </c>
      <c r="C54" s="12">
        <v>5140</v>
      </c>
      <c r="D54" s="12">
        <v>5111</v>
      </c>
      <c r="E54" s="13">
        <v>166.35900000000001</v>
      </c>
      <c r="F54" s="13">
        <v>333.33499999999998</v>
      </c>
      <c r="G54" s="12">
        <v>5991</v>
      </c>
      <c r="H54" s="12">
        <v>3830</v>
      </c>
      <c r="I54" s="13">
        <v>140.36699999999999</v>
      </c>
      <c r="J54" s="13">
        <v>347.82799999999997</v>
      </c>
      <c r="K54" s="12">
        <v>3550</v>
      </c>
      <c r="L54" s="12">
        <v>5174</v>
      </c>
      <c r="M54" s="13">
        <v>134.05799999999999</v>
      </c>
      <c r="N54" s="13">
        <v>258.04599999999999</v>
      </c>
    </row>
    <row r="55" spans="1:14" s="8" customFormat="1" ht="27.95" customHeight="1" x14ac:dyDescent="0.25">
      <c r="A55" s="10">
        <v>42</v>
      </c>
      <c r="B55" s="11" t="s">
        <v>19</v>
      </c>
      <c r="C55" s="12">
        <v>42347</v>
      </c>
      <c r="D55" s="12">
        <v>42043</v>
      </c>
      <c r="E55" s="13">
        <v>2027.617</v>
      </c>
      <c r="F55" s="13">
        <v>1282.2819999999999</v>
      </c>
      <c r="G55" s="12">
        <v>31985</v>
      </c>
      <c r="H55" s="12">
        <v>43665</v>
      </c>
      <c r="I55" s="13">
        <v>1668.895</v>
      </c>
      <c r="J55" s="13">
        <v>1356.4559999999999</v>
      </c>
      <c r="K55" s="12">
        <v>32651</v>
      </c>
      <c r="L55" s="12">
        <v>41251</v>
      </c>
      <c r="M55" s="13">
        <v>1886.7280000000001</v>
      </c>
      <c r="N55" s="13">
        <v>1366.2149999999999</v>
      </c>
    </row>
    <row r="56" spans="1:14" s="8" customFormat="1" ht="27.95" customHeight="1" x14ac:dyDescent="0.25">
      <c r="A56" s="10">
        <v>43</v>
      </c>
      <c r="B56" s="11" t="s">
        <v>20</v>
      </c>
      <c r="C56" s="12">
        <v>1662</v>
      </c>
      <c r="D56" s="12">
        <v>826</v>
      </c>
      <c r="E56" s="13">
        <v>38.7331</v>
      </c>
      <c r="F56" s="13">
        <v>81.528999999999996</v>
      </c>
      <c r="G56" s="12">
        <v>1351</v>
      </c>
      <c r="H56" s="12">
        <v>1094</v>
      </c>
      <c r="I56" s="13">
        <v>7.3821000000000003</v>
      </c>
      <c r="J56" s="13">
        <v>95.377600000000001</v>
      </c>
      <c r="K56" s="12">
        <v>1152</v>
      </c>
      <c r="L56" s="12">
        <v>1336</v>
      </c>
      <c r="M56" s="13">
        <v>5.6193999999999997</v>
      </c>
      <c r="N56" s="13">
        <v>70.909600000000012</v>
      </c>
    </row>
    <row r="57" spans="1:14" s="8" customFormat="1" ht="27.95" customHeight="1" x14ac:dyDescent="0.25">
      <c r="A57" s="10">
        <v>44</v>
      </c>
      <c r="B57" s="11" t="s">
        <v>21</v>
      </c>
      <c r="C57" s="12">
        <v>19505</v>
      </c>
      <c r="D57" s="12">
        <v>24346</v>
      </c>
      <c r="E57" s="13">
        <v>751.22799999999995</v>
      </c>
      <c r="F57" s="13">
        <v>869.73900000000003</v>
      </c>
      <c r="G57" s="12">
        <v>16361</v>
      </c>
      <c r="H57" s="12">
        <v>23428</v>
      </c>
      <c r="I57" s="13">
        <v>496.22</v>
      </c>
      <c r="J57" s="13">
        <v>749.66600000000005</v>
      </c>
      <c r="K57" s="12">
        <v>16524</v>
      </c>
      <c r="L57" s="12">
        <v>23899</v>
      </c>
      <c r="M57" s="13">
        <v>496.29</v>
      </c>
      <c r="N57" s="13">
        <v>740.26199999999994</v>
      </c>
    </row>
    <row r="58" spans="1:14" s="8" customFormat="1" ht="27.95" customHeight="1" x14ac:dyDescent="0.25">
      <c r="A58" s="10">
        <v>45</v>
      </c>
      <c r="B58" s="11" t="s">
        <v>53</v>
      </c>
      <c r="C58" s="12">
        <v>4302</v>
      </c>
      <c r="D58" s="12">
        <v>5553</v>
      </c>
      <c r="E58" s="13">
        <v>0</v>
      </c>
      <c r="F58" s="13">
        <v>29.603999999999999</v>
      </c>
      <c r="G58" s="12">
        <v>11119</v>
      </c>
      <c r="H58" s="12">
        <v>12572</v>
      </c>
      <c r="I58" s="13">
        <v>0.14499999999999999</v>
      </c>
      <c r="J58" s="13">
        <v>65.194999999999993</v>
      </c>
      <c r="K58" s="12">
        <v>13031</v>
      </c>
      <c r="L58" s="12">
        <v>13835</v>
      </c>
      <c r="M58" s="13">
        <v>0.78200000000000003</v>
      </c>
      <c r="N58" s="13">
        <v>57.540999999999997</v>
      </c>
    </row>
    <row r="59" spans="1:14" s="8" customFormat="1" ht="27.95" customHeight="1" x14ac:dyDescent="0.25">
      <c r="A59" s="10">
        <v>46</v>
      </c>
      <c r="B59" s="11" t="s">
        <v>55</v>
      </c>
      <c r="C59" s="12">
        <v>392</v>
      </c>
      <c r="D59" s="12">
        <v>430</v>
      </c>
      <c r="E59" s="13">
        <v>0</v>
      </c>
      <c r="F59" s="13">
        <v>0</v>
      </c>
      <c r="G59" s="12">
        <v>324</v>
      </c>
      <c r="H59" s="12">
        <v>294</v>
      </c>
      <c r="I59" s="13">
        <v>2.9260000000000002</v>
      </c>
      <c r="J59" s="13">
        <v>1.9370000000000001</v>
      </c>
      <c r="K59" s="12">
        <v>286</v>
      </c>
      <c r="L59" s="12">
        <v>244</v>
      </c>
      <c r="M59" s="13">
        <v>4.2190000000000003</v>
      </c>
      <c r="N59" s="13">
        <v>3.9169999999999998</v>
      </c>
    </row>
    <row r="60" spans="1:14" s="8" customFormat="1" ht="27.95" customHeight="1" x14ac:dyDescent="0.25">
      <c r="A60" s="10">
        <v>47</v>
      </c>
      <c r="B60" s="11" t="s">
        <v>56</v>
      </c>
      <c r="C60" s="12">
        <v>10895</v>
      </c>
      <c r="D60" s="12">
        <v>9337</v>
      </c>
      <c r="E60" s="13">
        <v>34.22</v>
      </c>
      <c r="F60" s="13">
        <v>18.233000000000001</v>
      </c>
      <c r="G60" s="12">
        <v>6809</v>
      </c>
      <c r="H60" s="12">
        <v>6456</v>
      </c>
      <c r="I60" s="13">
        <v>46.134999999999998</v>
      </c>
      <c r="J60" s="13">
        <v>10.236000000000001</v>
      </c>
      <c r="K60" s="12">
        <v>10166</v>
      </c>
      <c r="L60" s="12">
        <v>10314</v>
      </c>
      <c r="M60" s="13">
        <v>66.673000000000002</v>
      </c>
      <c r="N60" s="13">
        <v>19.946999999999999</v>
      </c>
    </row>
    <row r="61" spans="1:14" s="8" customFormat="1" ht="27.95" customHeight="1" x14ac:dyDescent="0.25">
      <c r="A61" s="10">
        <v>48</v>
      </c>
      <c r="B61" s="11" t="s">
        <v>77</v>
      </c>
      <c r="C61" s="12">
        <v>1082</v>
      </c>
      <c r="D61" s="12">
        <v>2071</v>
      </c>
      <c r="E61" s="13">
        <v>0</v>
      </c>
      <c r="F61" s="13">
        <v>0</v>
      </c>
      <c r="G61" s="12">
        <v>626</v>
      </c>
      <c r="H61" s="12">
        <v>1953</v>
      </c>
      <c r="I61" s="13">
        <v>0</v>
      </c>
      <c r="J61" s="13">
        <v>0</v>
      </c>
      <c r="K61" s="12">
        <v>1619</v>
      </c>
      <c r="L61" s="12">
        <v>2031</v>
      </c>
      <c r="M61" s="13">
        <v>0</v>
      </c>
      <c r="N61" s="13">
        <v>0</v>
      </c>
    </row>
    <row r="62" spans="1:14" s="8" customFormat="1" ht="27.95" customHeight="1" x14ac:dyDescent="0.25">
      <c r="A62" s="10">
        <v>49</v>
      </c>
      <c r="B62" s="11" t="s">
        <v>22</v>
      </c>
      <c r="C62" s="12">
        <v>28699</v>
      </c>
      <c r="D62" s="12">
        <v>28126</v>
      </c>
      <c r="E62" s="13">
        <v>291.37049999999999</v>
      </c>
      <c r="F62" s="13">
        <v>826.89883000000009</v>
      </c>
      <c r="G62" s="12">
        <v>18533</v>
      </c>
      <c r="H62" s="12">
        <v>42869</v>
      </c>
      <c r="I62" s="13">
        <v>278.97569999999996</v>
      </c>
      <c r="J62" s="13">
        <v>997.4233999999999</v>
      </c>
      <c r="K62" s="12">
        <v>18533</v>
      </c>
      <c r="L62" s="12">
        <v>39050</v>
      </c>
      <c r="M62" s="13">
        <v>335.95570000000004</v>
      </c>
      <c r="N62" s="13">
        <v>982.88473999999997</v>
      </c>
    </row>
    <row r="63" spans="1:14" s="8" customFormat="1" ht="27.95" customHeight="1" x14ac:dyDescent="0.25">
      <c r="A63" s="10">
        <v>50</v>
      </c>
      <c r="B63" s="11" t="s">
        <v>78</v>
      </c>
      <c r="C63" s="12">
        <v>3628</v>
      </c>
      <c r="D63" s="12">
        <v>4014</v>
      </c>
      <c r="E63" s="13">
        <v>8.0000000000000002E-3</v>
      </c>
      <c r="F63" s="13">
        <v>37.738680000000002</v>
      </c>
      <c r="G63" s="12">
        <v>3750</v>
      </c>
      <c r="H63" s="12">
        <v>4054</v>
      </c>
      <c r="I63" s="13">
        <v>0.27900000000000003</v>
      </c>
      <c r="J63" s="13">
        <v>76.376509999999996</v>
      </c>
      <c r="K63" s="12">
        <v>3570</v>
      </c>
      <c r="L63" s="12">
        <v>3644</v>
      </c>
      <c r="M63" s="13">
        <v>8.58</v>
      </c>
      <c r="N63" s="13">
        <v>89.593000000000004</v>
      </c>
    </row>
    <row r="64" spans="1:14" s="8" customFormat="1" ht="27.95" customHeight="1" x14ac:dyDescent="0.25">
      <c r="A64" s="10">
        <v>51</v>
      </c>
      <c r="B64" s="11" t="s">
        <v>23</v>
      </c>
      <c r="C64" s="12">
        <v>89245</v>
      </c>
      <c r="D64" s="12">
        <v>82976</v>
      </c>
      <c r="E64" s="13">
        <v>7510.1809999999996</v>
      </c>
      <c r="F64" s="13">
        <v>8166.6779999999999</v>
      </c>
      <c r="G64" s="12">
        <v>78329</v>
      </c>
      <c r="H64" s="12">
        <v>93703</v>
      </c>
      <c r="I64" s="13">
        <v>6240.4369999999999</v>
      </c>
      <c r="J64" s="13">
        <v>7226.84</v>
      </c>
      <c r="K64" s="12">
        <v>78370</v>
      </c>
      <c r="L64" s="12">
        <v>87268</v>
      </c>
      <c r="M64" s="13">
        <v>5849.8289999999997</v>
      </c>
      <c r="N64" s="13">
        <v>7811.0349999999999</v>
      </c>
    </row>
    <row r="65" spans="1:14" s="8" customFormat="1" ht="27.95" customHeight="1" x14ac:dyDescent="0.25">
      <c r="A65" s="10">
        <v>52</v>
      </c>
      <c r="B65" s="11" t="s">
        <v>57</v>
      </c>
      <c r="C65" s="12">
        <v>733</v>
      </c>
      <c r="D65" s="12">
        <v>770</v>
      </c>
      <c r="E65" s="13">
        <v>0</v>
      </c>
      <c r="F65" s="13">
        <v>0</v>
      </c>
      <c r="G65" s="12">
        <v>481</v>
      </c>
      <c r="H65" s="12">
        <v>732</v>
      </c>
      <c r="I65" s="13">
        <v>0</v>
      </c>
      <c r="J65" s="13">
        <v>0</v>
      </c>
      <c r="K65" s="12">
        <v>815</v>
      </c>
      <c r="L65" s="12">
        <v>1079</v>
      </c>
      <c r="M65" s="13">
        <v>0</v>
      </c>
      <c r="N65" s="13">
        <v>0</v>
      </c>
    </row>
    <row r="66" spans="1:14" s="8" customFormat="1" ht="27.95" customHeight="1" x14ac:dyDescent="0.25">
      <c r="A66" s="10">
        <v>53</v>
      </c>
      <c r="B66" s="11" t="s">
        <v>79</v>
      </c>
      <c r="C66" s="12">
        <v>15861</v>
      </c>
      <c r="D66" s="12">
        <v>16649</v>
      </c>
      <c r="E66" s="13">
        <v>3.6440000000000001</v>
      </c>
      <c r="F66" s="13">
        <v>39.25</v>
      </c>
      <c r="G66" s="12">
        <v>13523</v>
      </c>
      <c r="H66" s="12">
        <v>20743</v>
      </c>
      <c r="I66" s="13">
        <v>0</v>
      </c>
      <c r="J66" s="13">
        <v>78.054000000000002</v>
      </c>
      <c r="K66" s="12">
        <v>14537</v>
      </c>
      <c r="L66" s="12">
        <v>21118</v>
      </c>
      <c r="M66" s="13">
        <v>0</v>
      </c>
      <c r="N66" s="13">
        <v>99.596000000000004</v>
      </c>
    </row>
    <row r="67" spans="1:14" s="8" customFormat="1" ht="27.95" customHeight="1" x14ac:dyDescent="0.25">
      <c r="A67" s="10">
        <v>54</v>
      </c>
      <c r="B67" s="11" t="s">
        <v>80</v>
      </c>
      <c r="C67" s="12">
        <v>48360</v>
      </c>
      <c r="D67" s="12">
        <v>36861</v>
      </c>
      <c r="E67" s="13">
        <v>314.94400000000002</v>
      </c>
      <c r="F67" s="13">
        <v>1365.2149999999999</v>
      </c>
      <c r="G67" s="12">
        <v>33758</v>
      </c>
      <c r="H67" s="12">
        <v>68194</v>
      </c>
      <c r="I67" s="13">
        <v>350.267</v>
      </c>
      <c r="J67" s="13">
        <v>1387.374</v>
      </c>
      <c r="K67" s="12">
        <v>36833</v>
      </c>
      <c r="L67" s="12">
        <v>64511</v>
      </c>
      <c r="M67" s="13">
        <v>277.38099999999997</v>
      </c>
      <c r="N67" s="13">
        <v>1426.78</v>
      </c>
    </row>
    <row r="68" spans="1:14" s="8" customFormat="1" ht="27.95" customHeight="1" x14ac:dyDescent="0.25">
      <c r="A68" s="10">
        <v>55</v>
      </c>
      <c r="B68" s="11" t="s">
        <v>69</v>
      </c>
      <c r="C68" s="12">
        <v>28922</v>
      </c>
      <c r="D68" s="12">
        <v>35277</v>
      </c>
      <c r="E68" s="13">
        <v>11.099500000000001</v>
      </c>
      <c r="F68" s="13">
        <v>40.953940000000003</v>
      </c>
      <c r="G68" s="12">
        <v>27336</v>
      </c>
      <c r="H68" s="12">
        <v>31115</v>
      </c>
      <c r="I68" s="13">
        <v>4.2173999999999996</v>
      </c>
      <c r="J68" s="13">
        <v>85.645099999999999</v>
      </c>
      <c r="K68" s="12">
        <v>27949</v>
      </c>
      <c r="L68" s="12">
        <v>32245</v>
      </c>
      <c r="M68" s="13">
        <v>5.6879999999999997</v>
      </c>
      <c r="N68" s="13">
        <v>86.251199999999997</v>
      </c>
    </row>
    <row r="69" spans="1:14" s="8" customFormat="1" ht="27.95" customHeight="1" x14ac:dyDescent="0.25">
      <c r="A69" s="10">
        <v>56</v>
      </c>
      <c r="B69" s="11" t="s">
        <v>70</v>
      </c>
      <c r="C69" s="12">
        <v>72399</v>
      </c>
      <c r="D69" s="12">
        <v>87330</v>
      </c>
      <c r="E69" s="13">
        <v>2357.67362</v>
      </c>
      <c r="F69" s="13">
        <v>2941.3634999999999</v>
      </c>
      <c r="G69" s="12">
        <v>74522</v>
      </c>
      <c r="H69" s="12">
        <v>89684</v>
      </c>
      <c r="I69" s="13">
        <v>1947.8530000000001</v>
      </c>
      <c r="J69" s="13">
        <v>1920.5203299999998</v>
      </c>
      <c r="K69" s="12">
        <v>83220</v>
      </c>
      <c r="L69" s="12">
        <v>91999</v>
      </c>
      <c r="M69" s="13">
        <v>2453.2451000000001</v>
      </c>
      <c r="N69" s="13">
        <v>2467.1529</v>
      </c>
    </row>
    <row r="70" spans="1:14" s="8" customFormat="1" ht="27.95" customHeight="1" x14ac:dyDescent="0.25">
      <c r="A70" s="10">
        <v>57</v>
      </c>
      <c r="B70" s="11" t="s">
        <v>37</v>
      </c>
      <c r="C70" s="12">
        <v>38215</v>
      </c>
      <c r="D70" s="12">
        <v>34495</v>
      </c>
      <c r="E70" s="13">
        <v>450.21350000000001</v>
      </c>
      <c r="F70" s="13">
        <v>479.06799999999998</v>
      </c>
      <c r="G70" s="12">
        <v>30355</v>
      </c>
      <c r="H70" s="12">
        <v>40822</v>
      </c>
      <c r="I70" s="13">
        <v>387.91149999999999</v>
      </c>
      <c r="J70" s="13">
        <v>739.93600000000004</v>
      </c>
      <c r="K70" s="12">
        <v>28903</v>
      </c>
      <c r="L70" s="12">
        <v>36623</v>
      </c>
      <c r="M70" s="13">
        <v>401.72609999999997</v>
      </c>
      <c r="N70" s="13">
        <v>761.46400000000006</v>
      </c>
    </row>
    <row r="71" spans="1:14" s="8" customFormat="1" ht="27.95" customHeight="1" x14ac:dyDescent="0.25">
      <c r="A71" s="10">
        <v>58</v>
      </c>
      <c r="B71" s="11" t="s">
        <v>42</v>
      </c>
      <c r="C71" s="12">
        <v>9542</v>
      </c>
      <c r="D71" s="12">
        <v>9367</v>
      </c>
      <c r="E71" s="13">
        <v>504.61399999999998</v>
      </c>
      <c r="F71" s="13">
        <v>607.32799999999997</v>
      </c>
      <c r="G71" s="12">
        <v>8543</v>
      </c>
      <c r="H71" s="12">
        <v>9743</v>
      </c>
      <c r="I71" s="13">
        <v>534.81799999999998</v>
      </c>
      <c r="J71" s="13">
        <v>554.13499999999999</v>
      </c>
      <c r="K71" s="12">
        <v>7588</v>
      </c>
      <c r="L71" s="12">
        <v>9967</v>
      </c>
      <c r="M71" s="13">
        <v>572.21900000000005</v>
      </c>
      <c r="N71" s="13">
        <v>621.07399999999996</v>
      </c>
    </row>
    <row r="72" spans="1:14" s="8" customFormat="1" ht="27.95" customHeight="1" x14ac:dyDescent="0.25">
      <c r="A72" s="10">
        <v>59</v>
      </c>
      <c r="B72" s="11" t="s">
        <v>85</v>
      </c>
      <c r="C72" s="12">
        <v>16695</v>
      </c>
      <c r="D72" s="12">
        <v>17391</v>
      </c>
      <c r="E72" s="13">
        <v>0</v>
      </c>
      <c r="F72" s="13">
        <v>73.637</v>
      </c>
      <c r="G72" s="12">
        <v>19629</v>
      </c>
      <c r="H72" s="12">
        <v>20837</v>
      </c>
      <c r="I72" s="13">
        <v>1.276</v>
      </c>
      <c r="J72" s="13">
        <v>108.908</v>
      </c>
      <c r="K72" s="12">
        <v>18851</v>
      </c>
      <c r="L72" s="12">
        <v>19844</v>
      </c>
      <c r="M72" s="13">
        <v>33.481000000000002</v>
      </c>
      <c r="N72" s="13">
        <v>106.824</v>
      </c>
    </row>
    <row r="73" spans="1:14" s="8" customFormat="1" ht="27.95" customHeight="1" x14ac:dyDescent="0.25">
      <c r="A73" s="10">
        <v>60</v>
      </c>
      <c r="B73" s="11" t="s">
        <v>47</v>
      </c>
      <c r="C73" s="12">
        <v>32810</v>
      </c>
      <c r="D73" s="12">
        <v>39178</v>
      </c>
      <c r="E73" s="13">
        <v>2508.9960000000001</v>
      </c>
      <c r="F73" s="13">
        <v>1474.1679999999999</v>
      </c>
      <c r="G73" s="12">
        <v>28918</v>
      </c>
      <c r="H73" s="12">
        <v>36091</v>
      </c>
      <c r="I73" s="13">
        <v>2110.6469999999999</v>
      </c>
      <c r="J73" s="13">
        <v>1395.3820000000001</v>
      </c>
      <c r="K73" s="12">
        <v>30444</v>
      </c>
      <c r="L73" s="12">
        <v>31768</v>
      </c>
      <c r="M73" s="13">
        <v>1708.2539999999999</v>
      </c>
      <c r="N73" s="13">
        <v>1311.191</v>
      </c>
    </row>
    <row r="74" spans="1:14" s="8" customFormat="1" ht="27.95" customHeight="1" x14ac:dyDescent="0.25">
      <c r="A74" s="10">
        <v>61</v>
      </c>
      <c r="B74" s="11" t="s">
        <v>86</v>
      </c>
      <c r="C74" s="12">
        <v>2782</v>
      </c>
      <c r="D74" s="12">
        <v>3161</v>
      </c>
      <c r="E74" s="13">
        <v>0</v>
      </c>
      <c r="F74" s="13">
        <v>1.212</v>
      </c>
      <c r="G74" s="12">
        <v>4035</v>
      </c>
      <c r="H74" s="12">
        <v>4204</v>
      </c>
      <c r="I74" s="13">
        <v>7.1260000000000003</v>
      </c>
      <c r="J74" s="13">
        <v>3.0609999999999999</v>
      </c>
      <c r="K74" s="12">
        <v>2647</v>
      </c>
      <c r="L74" s="12">
        <v>3187</v>
      </c>
      <c r="M74" s="13">
        <v>0</v>
      </c>
      <c r="N74" s="13">
        <v>0</v>
      </c>
    </row>
    <row r="75" spans="1:14" s="8" customFormat="1" ht="27.95" customHeight="1" x14ac:dyDescent="0.25">
      <c r="A75" s="10">
        <v>62</v>
      </c>
      <c r="B75" s="11" t="s">
        <v>81</v>
      </c>
      <c r="C75" s="12">
        <v>7929</v>
      </c>
      <c r="D75" s="12">
        <v>7860</v>
      </c>
      <c r="E75" s="13">
        <v>0</v>
      </c>
      <c r="F75" s="13">
        <v>0</v>
      </c>
      <c r="G75" s="12">
        <v>5498</v>
      </c>
      <c r="H75" s="12">
        <v>6080</v>
      </c>
      <c r="I75" s="13">
        <v>0</v>
      </c>
      <c r="J75" s="13">
        <v>0</v>
      </c>
      <c r="K75" s="12">
        <v>4607</v>
      </c>
      <c r="L75" s="12">
        <v>5365</v>
      </c>
      <c r="M75" s="13">
        <v>0</v>
      </c>
      <c r="N75" s="13">
        <v>0</v>
      </c>
    </row>
    <row r="76" spans="1:14" s="8" customFormat="1" ht="27.95" customHeight="1" x14ac:dyDescent="0.25">
      <c r="A76" s="10">
        <v>63</v>
      </c>
      <c r="B76" s="11" t="s">
        <v>24</v>
      </c>
      <c r="C76" s="12">
        <v>21377</v>
      </c>
      <c r="D76" s="12">
        <v>21100</v>
      </c>
      <c r="E76" s="13">
        <v>3486.0619999999999</v>
      </c>
      <c r="F76" s="13">
        <v>3497.623</v>
      </c>
      <c r="G76" s="12">
        <v>18812</v>
      </c>
      <c r="H76" s="12">
        <v>22119</v>
      </c>
      <c r="I76" s="13">
        <v>3596.049</v>
      </c>
      <c r="J76" s="13">
        <v>2397.58</v>
      </c>
      <c r="K76" s="12">
        <v>18373</v>
      </c>
      <c r="L76" s="12">
        <v>21304</v>
      </c>
      <c r="M76" s="13">
        <v>2971.1862999999998</v>
      </c>
      <c r="N76" s="13">
        <v>3095.9138990000001</v>
      </c>
    </row>
    <row r="77" spans="1:14" s="8" customFormat="1" ht="27.95" customHeight="1" x14ac:dyDescent="0.25">
      <c r="A77" s="10">
        <v>64</v>
      </c>
      <c r="B77" s="11" t="s">
        <v>25</v>
      </c>
      <c r="C77" s="12">
        <v>14032</v>
      </c>
      <c r="D77" s="12">
        <v>14422</v>
      </c>
      <c r="E77" s="13">
        <v>165.02624</v>
      </c>
      <c r="F77" s="13">
        <v>165.02624</v>
      </c>
      <c r="G77" s="12">
        <v>11133</v>
      </c>
      <c r="H77" s="12">
        <v>14514</v>
      </c>
      <c r="I77" s="13">
        <v>153.83631</v>
      </c>
      <c r="J77" s="13">
        <v>64.25882</v>
      </c>
      <c r="K77" s="12">
        <v>12925</v>
      </c>
      <c r="L77" s="12">
        <v>12757</v>
      </c>
      <c r="M77" s="13">
        <v>177.00215</v>
      </c>
      <c r="N77" s="13">
        <v>198.49079999999998</v>
      </c>
    </row>
    <row r="78" spans="1:14" s="8" customFormat="1" ht="27.95" customHeight="1" x14ac:dyDescent="0.25">
      <c r="A78" s="10">
        <v>65</v>
      </c>
      <c r="B78" s="11" t="s">
        <v>71</v>
      </c>
      <c r="C78" s="12">
        <v>0</v>
      </c>
      <c r="D78" s="12">
        <v>0</v>
      </c>
      <c r="E78" s="13">
        <v>418.553</v>
      </c>
      <c r="F78" s="13">
        <v>1716.6120000000001</v>
      </c>
      <c r="G78" s="12">
        <v>0</v>
      </c>
      <c r="H78" s="12">
        <v>0</v>
      </c>
      <c r="I78" s="13">
        <v>886.39200000000005</v>
      </c>
      <c r="J78" s="13">
        <v>1074.336</v>
      </c>
      <c r="K78" s="12">
        <v>0</v>
      </c>
      <c r="L78" s="12">
        <v>0</v>
      </c>
      <c r="M78" s="13">
        <v>955.23599999999999</v>
      </c>
      <c r="N78" s="13">
        <v>1055.6510000000001</v>
      </c>
    </row>
    <row r="79" spans="1:14" s="8" customFormat="1" ht="27.95" customHeight="1" x14ac:dyDescent="0.25">
      <c r="A79" s="10">
        <v>66</v>
      </c>
      <c r="B79" s="11" t="s">
        <v>72</v>
      </c>
      <c r="C79" s="12">
        <v>3885</v>
      </c>
      <c r="D79" s="12">
        <v>3948</v>
      </c>
      <c r="E79" s="13">
        <v>0</v>
      </c>
      <c r="F79" s="13">
        <v>16.279</v>
      </c>
      <c r="G79" s="12">
        <v>5243</v>
      </c>
      <c r="H79" s="12">
        <v>5423</v>
      </c>
      <c r="I79" s="13">
        <v>0</v>
      </c>
      <c r="J79" s="13">
        <v>20.984999999999999</v>
      </c>
      <c r="K79" s="12">
        <v>5672</v>
      </c>
      <c r="L79" s="12">
        <v>5864</v>
      </c>
      <c r="M79" s="13">
        <v>0</v>
      </c>
      <c r="N79" s="13">
        <v>4.0000000000000001E-3</v>
      </c>
    </row>
    <row r="80" spans="1:14" s="8" customFormat="1" ht="27.95" customHeight="1" x14ac:dyDescent="0.25">
      <c r="A80" s="10">
        <v>67</v>
      </c>
      <c r="B80" s="11" t="s">
        <v>26</v>
      </c>
      <c r="C80" s="12">
        <v>3774</v>
      </c>
      <c r="D80" s="12">
        <v>2238</v>
      </c>
      <c r="E80" s="13">
        <v>14.262</v>
      </c>
      <c r="F80" s="13">
        <v>211.215</v>
      </c>
      <c r="G80" s="12">
        <v>2962</v>
      </c>
      <c r="H80" s="12">
        <v>3179</v>
      </c>
      <c r="I80" s="13">
        <v>54.140999999999998</v>
      </c>
      <c r="J80" s="13">
        <v>134.22300000000001</v>
      </c>
      <c r="K80" s="12">
        <v>2856</v>
      </c>
      <c r="L80" s="12">
        <v>3591</v>
      </c>
      <c r="M80" s="13">
        <v>70.244</v>
      </c>
      <c r="N80" s="13">
        <v>131.298</v>
      </c>
    </row>
    <row r="81" spans="1:14" s="8" customFormat="1" ht="27.95" customHeight="1" x14ac:dyDescent="0.25">
      <c r="A81" s="10">
        <v>68</v>
      </c>
      <c r="B81" s="11" t="s">
        <v>87</v>
      </c>
      <c r="C81" s="12">
        <v>5327</v>
      </c>
      <c r="D81" s="12">
        <v>6549</v>
      </c>
      <c r="E81" s="13">
        <v>14.496499999999999</v>
      </c>
      <c r="F81" s="13">
        <v>30.965599999999998</v>
      </c>
      <c r="G81" s="12">
        <v>0</v>
      </c>
      <c r="H81" s="12">
        <v>0</v>
      </c>
      <c r="I81" s="13">
        <v>0</v>
      </c>
      <c r="J81" s="13">
        <v>0</v>
      </c>
      <c r="K81" s="12">
        <v>7187</v>
      </c>
      <c r="L81" s="12">
        <v>7909</v>
      </c>
      <c r="M81" s="13">
        <v>0</v>
      </c>
      <c r="N81" s="13">
        <v>0</v>
      </c>
    </row>
    <row r="82" spans="1:14" s="8" customFormat="1" ht="27.95" customHeight="1" x14ac:dyDescent="0.25">
      <c r="A82" s="10">
        <v>69</v>
      </c>
      <c r="B82" s="11" t="s">
        <v>27</v>
      </c>
      <c r="C82" s="12">
        <v>21124</v>
      </c>
      <c r="D82" s="12">
        <v>19076</v>
      </c>
      <c r="E82" s="13">
        <v>1148.9880000000001</v>
      </c>
      <c r="F82" s="13">
        <v>1325.11</v>
      </c>
      <c r="G82" s="12">
        <v>23752</v>
      </c>
      <c r="H82" s="12">
        <v>28312</v>
      </c>
      <c r="I82" s="13">
        <v>1348.9590000000001</v>
      </c>
      <c r="J82" s="13">
        <v>1763.655</v>
      </c>
      <c r="K82" s="12">
        <v>15372</v>
      </c>
      <c r="L82" s="12">
        <v>21800</v>
      </c>
      <c r="M82" s="13">
        <v>1146.931</v>
      </c>
      <c r="N82" s="13">
        <v>1406.7339999999999</v>
      </c>
    </row>
    <row r="83" spans="1:14" s="8" customFormat="1" ht="27.95" customHeight="1" x14ac:dyDescent="0.25">
      <c r="A83" s="10">
        <v>70</v>
      </c>
      <c r="B83" s="11" t="s">
        <v>28</v>
      </c>
      <c r="C83" s="12">
        <v>1056</v>
      </c>
      <c r="D83" s="12">
        <v>997</v>
      </c>
      <c r="E83" s="13">
        <v>0.13500000000000001</v>
      </c>
      <c r="F83" s="13">
        <v>10.028</v>
      </c>
      <c r="G83" s="12">
        <v>897</v>
      </c>
      <c r="H83" s="12">
        <v>871</v>
      </c>
      <c r="I83" s="13">
        <v>0</v>
      </c>
      <c r="J83" s="13">
        <v>6.6203000000000003</v>
      </c>
      <c r="K83" s="12">
        <v>889</v>
      </c>
      <c r="L83" s="12">
        <v>876</v>
      </c>
      <c r="M83" s="13">
        <v>0</v>
      </c>
      <c r="N83" s="13">
        <v>7.7110000000000003</v>
      </c>
    </row>
    <row r="84" spans="1:14" ht="27.75" customHeight="1" x14ac:dyDescent="0.25">
      <c r="A84" s="34" t="s">
        <v>29</v>
      </c>
      <c r="B84" s="34"/>
      <c r="C84" s="18">
        <f t="shared" ref="C84:N84" si="1">SUM(C14:C83)</f>
        <v>1283943</v>
      </c>
      <c r="D84" s="18">
        <f t="shared" si="1"/>
        <v>1230654</v>
      </c>
      <c r="E84" s="19">
        <f t="shared" si="1"/>
        <v>52346.176292000004</v>
      </c>
      <c r="F84" s="19">
        <f t="shared" si="1"/>
        <v>63595.934086999994</v>
      </c>
      <c r="G84" s="18">
        <f t="shared" si="1"/>
        <v>1036505</v>
      </c>
      <c r="H84" s="18">
        <f t="shared" si="1"/>
        <v>1434112</v>
      </c>
      <c r="I84" s="19">
        <f t="shared" si="1"/>
        <v>48082.525840000002</v>
      </c>
      <c r="J84" s="19">
        <f t="shared" si="1"/>
        <v>59241.300126999988</v>
      </c>
      <c r="K84" s="18">
        <f t="shared" si="1"/>
        <v>1046179</v>
      </c>
      <c r="L84" s="18">
        <f t="shared" si="1"/>
        <v>1379549</v>
      </c>
      <c r="M84" s="19">
        <f t="shared" si="1"/>
        <v>48333.657761000002</v>
      </c>
      <c r="N84" s="19">
        <f t="shared" si="1"/>
        <v>64306.257262999992</v>
      </c>
    </row>
    <row r="85" spans="1:14" ht="41.25" customHeight="1" x14ac:dyDescent="0.25">
      <c r="A85" s="35" t="s">
        <v>30</v>
      </c>
      <c r="B85" s="35"/>
      <c r="C85" s="20">
        <f t="shared" ref="C85:N85" si="2">C12+C84</f>
        <v>2317600</v>
      </c>
      <c r="D85" s="20">
        <f t="shared" si="2"/>
        <v>2161957</v>
      </c>
      <c r="E85" s="21">
        <f t="shared" si="2"/>
        <v>57238.234872000001</v>
      </c>
      <c r="F85" s="21">
        <f t="shared" si="2"/>
        <v>75577.293846999994</v>
      </c>
      <c r="G85" s="20">
        <f t="shared" si="2"/>
        <v>1870359</v>
      </c>
      <c r="H85" s="20">
        <f t="shared" si="2"/>
        <v>2525796</v>
      </c>
      <c r="I85" s="21">
        <f t="shared" si="2"/>
        <v>52585.658300000003</v>
      </c>
      <c r="J85" s="21">
        <f t="shared" si="2"/>
        <v>71173.395836999989</v>
      </c>
      <c r="K85" s="20">
        <f t="shared" si="2"/>
        <v>1862195</v>
      </c>
      <c r="L85" s="20">
        <f t="shared" si="2"/>
        <v>2438497</v>
      </c>
      <c r="M85" s="21">
        <f t="shared" si="2"/>
        <v>52964.403031000002</v>
      </c>
      <c r="N85" s="21">
        <f t="shared" si="2"/>
        <v>76487.000322999986</v>
      </c>
    </row>
    <row r="86" spans="1:14" s="8" customFormat="1" ht="30.75" customHeight="1" x14ac:dyDescent="0.3">
      <c r="A86" s="28" t="s">
        <v>93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30"/>
    </row>
    <row r="87" spans="1:14" s="8" customFormat="1" ht="21" customHeight="1" x14ac:dyDescent="0.3">
      <c r="A87" s="27" t="s">
        <v>36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</row>
    <row r="88" spans="1:14" ht="18.75" customHeight="1" x14ac:dyDescent="0.25"/>
    <row r="89" spans="1:14" ht="18.75" customHeight="1" x14ac:dyDescent="0.25"/>
    <row r="90" spans="1:14" ht="18.75" customHeight="1" x14ac:dyDescent="0.25"/>
  </sheetData>
  <mergeCells count="14">
    <mergeCell ref="A87:N87"/>
    <mergeCell ref="A86:N86"/>
    <mergeCell ref="A5:N5"/>
    <mergeCell ref="A12:B12"/>
    <mergeCell ref="A13:N13"/>
    <mergeCell ref="A84:B84"/>
    <mergeCell ref="A85:B85"/>
    <mergeCell ref="A1:N1"/>
    <mergeCell ref="A2:N2"/>
    <mergeCell ref="A3:A4"/>
    <mergeCell ref="B3:B4"/>
    <mergeCell ref="C3:F3"/>
    <mergeCell ref="G3:J3"/>
    <mergeCell ref="K3:N3"/>
  </mergeCells>
  <printOptions horizontalCentered="1"/>
  <pageMargins left="0" right="0" top="3.937007874015748E-2" bottom="3.937007874015748E-2" header="0.31496062992125984" footer="0.31496062992125984"/>
  <pageSetup scale="39" fitToHeight="2" orientation="landscape" r:id="rId1"/>
  <headerFooter>
    <oddFooter>Page &amp;P of &amp;N</oddFooter>
  </headerFooter>
  <rowBreaks count="1" manualBreakCount="1">
    <brk id="4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2022-12-07T05:47:11Z</dcterms:modified>
</cp:coreProperties>
</file>