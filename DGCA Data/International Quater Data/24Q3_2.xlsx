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000" windowHeight="8835"/>
  </bookViews>
  <sheets>
    <sheet name="MONTHWISE" sheetId="2" r:id="rId1"/>
  </sheets>
  <definedNames>
    <definedName name="_">#REF!</definedName>
    <definedName name="_xlnm._FilterDatabase" localSheetId="0" hidden="1">MONTHWISE!#REF!</definedName>
    <definedName name="_xlnm.Print_Area" localSheetId="0">MONTHWISE!$A$1:$N$92</definedName>
    <definedName name="Print_Area_1">#REF!</definedName>
    <definedName name="Print_Area_2">#REF!</definedName>
    <definedName name="Print_Area_3">#REF!</definedName>
    <definedName name="_xlnm.Print_Titles" localSheetId="0">MONTHWISE!$A:$B,MONTHWISE!$1:$4</definedName>
  </definedNames>
  <calcPr calcId="152511"/>
</workbook>
</file>

<file path=xl/calcChain.xml><?xml version="1.0" encoding="utf-8"?>
<calcChain xmlns="http://schemas.openxmlformats.org/spreadsheetml/2006/main">
  <c r="D13" i="2" l="1"/>
  <c r="E13" i="2"/>
  <c r="F13" i="2"/>
  <c r="G13" i="2"/>
  <c r="H13" i="2"/>
  <c r="I13" i="2"/>
  <c r="J13" i="2"/>
  <c r="K13" i="2"/>
  <c r="L13" i="2"/>
  <c r="M13" i="2"/>
  <c r="N13" i="2"/>
  <c r="C13" i="2"/>
  <c r="D89" i="2" l="1"/>
  <c r="E89" i="2"/>
  <c r="F89" i="2"/>
  <c r="G89" i="2"/>
  <c r="H89" i="2"/>
  <c r="I89" i="2"/>
  <c r="J89" i="2"/>
  <c r="K89" i="2"/>
  <c r="L89" i="2"/>
  <c r="M89" i="2"/>
  <c r="N89" i="2"/>
  <c r="C89" i="2"/>
  <c r="D90" i="2" l="1"/>
  <c r="E90" i="2"/>
  <c r="F90" i="2"/>
  <c r="G90" i="2"/>
  <c r="H90" i="2"/>
  <c r="I90" i="2"/>
  <c r="J90" i="2"/>
  <c r="K90" i="2"/>
  <c r="L90" i="2"/>
  <c r="M90" i="2"/>
  <c r="N90" i="2"/>
  <c r="C90" i="2" l="1"/>
</calcChain>
</file>

<file path=xl/sharedStrings.xml><?xml version="1.0" encoding="utf-8"?>
<sst xmlns="http://schemas.openxmlformats.org/spreadsheetml/2006/main" count="107" uniqueCount="99">
  <si>
    <t>NAME OF THE AIRLINE</t>
  </si>
  <si>
    <t>AIR INDIA</t>
  </si>
  <si>
    <t>AEROFLOT</t>
  </si>
  <si>
    <t>AEROLOGIC</t>
  </si>
  <si>
    <t>AIR ARABIA</t>
  </si>
  <si>
    <t>BIMAN BANGLADESH</t>
  </si>
  <si>
    <t>CATHAY PACIFIC</t>
  </si>
  <si>
    <t>DRUK AIR</t>
  </si>
  <si>
    <t>FEDERAL EXPRESS</t>
  </si>
  <si>
    <t>IRAQI AIRWAYS</t>
  </si>
  <si>
    <t>ISLAND AVIATION SERVICES</t>
  </si>
  <si>
    <t>JAPAN AIRLINES</t>
  </si>
  <si>
    <t>KENYA AIRWAYS</t>
  </si>
  <si>
    <t>KOREAN AIR</t>
  </si>
  <si>
    <t>LUFTHANSA</t>
  </si>
  <si>
    <t>MAHAN AIR</t>
  </si>
  <si>
    <t>MALAYSIA AIRLINES</t>
  </si>
  <si>
    <t>OMAN AIR</t>
  </si>
  <si>
    <t>QATAR AIRWAYS</t>
  </si>
  <si>
    <t>TURKISH AIRLINES</t>
  </si>
  <si>
    <t>UNITED AIRLINES</t>
  </si>
  <si>
    <t>VIRGIN ATLANTIC AIRLINES</t>
  </si>
  <si>
    <t>YEMENIA AIRWAYS</t>
  </si>
  <si>
    <t>(PASSENGERS IN NUMBER AND FREIGHT IN TONNES)</t>
  </si>
  <si>
    <t>PASSENGERS TO INDIA</t>
  </si>
  <si>
    <t>PASSENGERS FROM INDIA</t>
  </si>
  <si>
    <t>FREIGHT TO INDIA</t>
  </si>
  <si>
    <t>FREIGHT FROM INDIA</t>
  </si>
  <si>
    <t>P-Provisional</t>
  </si>
  <si>
    <t>SRILANKAN AIRWAYS</t>
  </si>
  <si>
    <t>SL. No.</t>
  </si>
  <si>
    <t>EMIRATES AIRLINE</t>
  </si>
  <si>
    <t>ETHIOPIAN AIRLINES</t>
  </si>
  <si>
    <t>GULF AIR</t>
  </si>
  <si>
    <t>SWISS AIR</t>
  </si>
  <si>
    <t>AIR CANADA</t>
  </si>
  <si>
    <t>AIR FRANCE</t>
  </si>
  <si>
    <t>KLM AIRLINES</t>
  </si>
  <si>
    <t>THAI AIRWAYS</t>
  </si>
  <si>
    <t>ALL NIPPON AIRWAYS</t>
  </si>
  <si>
    <t>AIR ASIA X</t>
  </si>
  <si>
    <t>AIR MAURITIUS</t>
  </si>
  <si>
    <t>KUWAIT AIRWAYS</t>
  </si>
  <si>
    <t>MALINDO AIRWAYS</t>
  </si>
  <si>
    <t>FLY DUBAI</t>
  </si>
  <si>
    <t>MYANMAR AIRLINES</t>
  </si>
  <si>
    <t>NEPAL AIRLINES CORPORATION</t>
  </si>
  <si>
    <t>AIR SEYCHELLES</t>
  </si>
  <si>
    <t>JAZEERA AIRWAYS</t>
  </si>
  <si>
    <t>AIR INDIA EXPRESS</t>
  </si>
  <si>
    <t>INDIGO</t>
  </si>
  <si>
    <t>SPICEJET</t>
  </si>
  <si>
    <t>AIR ASIA BERHAD</t>
  </si>
  <si>
    <t>CHINA AIRLINES LTD</t>
  </si>
  <si>
    <t>FLYNAS</t>
  </si>
  <si>
    <t>SCOOT TIGER AIR</t>
  </si>
  <si>
    <t>SINGAPORE AIRLINES</t>
  </si>
  <si>
    <t>US BANGLA AIRLINES</t>
  </si>
  <si>
    <t>AIR ARABIA-ABU DHABI</t>
  </si>
  <si>
    <t>AIR TANZANIA</t>
  </si>
  <si>
    <t>AMERICAN AIRLINES</t>
  </si>
  <si>
    <t>ARIANA AFGHAN</t>
  </si>
  <si>
    <t>NOVO AIR</t>
  </si>
  <si>
    <t>QANTAS AIRLINES</t>
  </si>
  <si>
    <t>SAUDIA</t>
  </si>
  <si>
    <t>BRITISH AIRWAYS</t>
  </si>
  <si>
    <t>THAI AIR ASIA</t>
  </si>
  <si>
    <t>THAI LION AIR</t>
  </si>
  <si>
    <t>VIETJET AIR</t>
  </si>
  <si>
    <t>AZERBAIJAN AIRLINES</t>
  </si>
  <si>
    <t>ALLIANCE AIR</t>
  </si>
  <si>
    <t>AERO NOMAD</t>
  </si>
  <si>
    <t>BATIK AIR</t>
  </si>
  <si>
    <t>BHUTAN AIRLINES</t>
  </si>
  <si>
    <t>NEOS SPA</t>
  </si>
  <si>
    <t>VIETNAM AIRLINES</t>
  </si>
  <si>
    <t>BUDDHA AIR</t>
  </si>
  <si>
    <t>SALAM AIR</t>
  </si>
  <si>
    <t>UZBEKISTAN AIRWAYS</t>
  </si>
  <si>
    <t>AIR ASTANA</t>
  </si>
  <si>
    <t>EGYPT AIR</t>
  </si>
  <si>
    <t>ETIHAD AIRLINES</t>
  </si>
  <si>
    <t>FINN AIR</t>
  </si>
  <si>
    <t>IRAN AIR</t>
  </si>
  <si>
    <t>LOT POLISH</t>
  </si>
  <si>
    <t>UNITED PARCEL SERVICES</t>
  </si>
  <si>
    <t>AKASA AIR</t>
  </si>
  <si>
    <t>VISTARA AIRLINES</t>
  </si>
  <si>
    <t>DOMESTIC OPERATORS</t>
  </si>
  <si>
    <t>TOTAL (DOMESTIC OPERATORS)</t>
  </si>
  <si>
    <t xml:space="preserve">FOREIGN OPERATORS </t>
  </si>
  <si>
    <t>TOTAL (FOREIGN OPERATORS)</t>
  </si>
  <si>
    <t>TOTAL (DOMESTIC &amp; FOREIGN OPERATORS)</t>
  </si>
  <si>
    <t>Note: This table does not include the passengers and freight carried by domestic operators entirely outside the Indian territory.</t>
  </si>
  <si>
    <t>JULY</t>
  </si>
  <si>
    <t>AUGUST</t>
  </si>
  <si>
    <t>SEPTEMBER</t>
  </si>
  <si>
    <t>FITS AVIATION</t>
  </si>
  <si>
    <t>TABLE 2. AIRLINEWISE MONTHLY INTERNATIONAL TRAFFIC STATISTICS (SCHEDULED) FOR THE QUARTER JULY-SEPTEMBER 2024 (P)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</si>
</sst>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0.0"/>
    <numFmt numFmtId="166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rgb="FFFF0000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8"/>
      <color rgb="FFFF0000"/>
      <name val="Times New Roman"/>
      <family val="1"/>
    </font>
    <font>
      <b/>
      <sz val="15"/>
      <color theme="1"/>
      <name val="Times New Roman"/>
      <family val="1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4" fillId="0" borderId="0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164" fontId="4" fillId="4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vertical="top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right" vertical="center" wrapText="1"/>
    </xf>
    <xf numFmtId="164" fontId="7" fillId="0" borderId="1" xfId="0" applyNumberFormat="1" applyFont="1" applyBorder="1" applyAlignment="1">
      <alignment horizontal="right" vertical="center"/>
    </xf>
    <xf numFmtId="164" fontId="7" fillId="0" borderId="1" xfId="0" applyNumberFormat="1" applyFont="1" applyFill="1" applyBorder="1" applyAlignment="1">
      <alignment horizontal="right" vertical="center"/>
    </xf>
    <xf numFmtId="164" fontId="6" fillId="4" borderId="1" xfId="0" applyNumberFormat="1" applyFont="1" applyFill="1" applyBorder="1" applyAlignment="1">
      <alignment horizontal="right" vertical="center"/>
    </xf>
    <xf numFmtId="164" fontId="6" fillId="3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66" fontId="7" fillId="0" borderId="1" xfId="1" applyNumberFormat="1" applyFont="1" applyBorder="1" applyAlignment="1">
      <alignment horizontal="right" vertical="center"/>
    </xf>
    <xf numFmtId="166" fontId="7" fillId="0" borderId="1" xfId="1" applyNumberFormat="1" applyFont="1" applyFill="1" applyBorder="1" applyAlignment="1">
      <alignment horizontal="right" vertical="center"/>
    </xf>
    <xf numFmtId="166" fontId="6" fillId="4" borderId="1" xfId="1" applyNumberFormat="1" applyFont="1" applyFill="1" applyBorder="1" applyAlignment="1">
      <alignment horizontal="right" vertical="center"/>
    </xf>
    <xf numFmtId="166" fontId="4" fillId="2" borderId="1" xfId="1" applyNumberFormat="1" applyFont="1" applyFill="1" applyBorder="1" applyAlignment="1">
      <alignment horizontal="right" vertical="center" wrapText="1"/>
    </xf>
    <xf numFmtId="166" fontId="4" fillId="4" borderId="1" xfId="1" applyNumberFormat="1" applyFont="1" applyFill="1" applyBorder="1" applyAlignment="1">
      <alignment horizontal="right" vertical="center"/>
    </xf>
    <xf numFmtId="166" fontId="6" fillId="3" borderId="1" xfId="1" applyNumberFormat="1" applyFont="1" applyFill="1" applyBorder="1" applyAlignment="1">
      <alignment horizontal="right" vertical="center"/>
    </xf>
    <xf numFmtId="166" fontId="2" fillId="0" borderId="0" xfId="1" applyNumberFormat="1" applyFont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2"/>
  <sheetViews>
    <sheetView tabSelected="1" view="pageBreakPreview" topLeftCell="A10" zoomScale="70" zoomScaleNormal="55" zoomScaleSheetLayoutView="70" workbookViewId="0">
      <selection activeCell="H33" sqref="H33"/>
    </sheetView>
  </sheetViews>
  <sheetFormatPr defaultRowHeight="16.5" customHeight="1" x14ac:dyDescent="0.25"/>
  <cols>
    <col min="1" max="1" width="9" style="12" customWidth="1"/>
    <col min="2" max="2" width="41.5703125" style="13" customWidth="1"/>
    <col min="3" max="3" width="15.85546875" style="44" customWidth="1"/>
    <col min="4" max="4" width="17" style="44" customWidth="1"/>
    <col min="5" max="5" width="15.85546875" style="19" customWidth="1"/>
    <col min="6" max="6" width="16.7109375" style="19" customWidth="1"/>
    <col min="7" max="8" width="16.85546875" style="44" customWidth="1"/>
    <col min="9" max="9" width="13.28515625" style="19" customWidth="1"/>
    <col min="10" max="10" width="15.28515625" style="19" customWidth="1"/>
    <col min="11" max="11" width="15.5703125" style="44" customWidth="1"/>
    <col min="12" max="12" width="17" style="44" customWidth="1"/>
    <col min="13" max="13" width="12.28515625" style="19" customWidth="1"/>
    <col min="14" max="14" width="16" style="19" customWidth="1"/>
    <col min="15" max="19" width="12.42578125" style="1" customWidth="1"/>
    <col min="20" max="16384" width="9.140625" style="1"/>
  </cols>
  <sheetData>
    <row r="1" spans="1:14" ht="56.25" customHeight="1" x14ac:dyDescent="0.25">
      <c r="A1" s="29" t="s">
        <v>98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s="2" customFormat="1" ht="16.5" customHeight="1" x14ac:dyDescent="0.25">
      <c r="A2" s="30" t="s">
        <v>23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4" ht="16.5" customHeight="1" x14ac:dyDescent="0.25">
      <c r="A3" s="31" t="s">
        <v>30</v>
      </c>
      <c r="B3" s="33" t="s">
        <v>0</v>
      </c>
      <c r="C3" s="35" t="s">
        <v>94</v>
      </c>
      <c r="D3" s="36"/>
      <c r="E3" s="36"/>
      <c r="F3" s="37"/>
      <c r="G3" s="35" t="s">
        <v>95</v>
      </c>
      <c r="H3" s="36"/>
      <c r="I3" s="36"/>
      <c r="J3" s="37"/>
      <c r="K3" s="35" t="s">
        <v>96</v>
      </c>
      <c r="L3" s="36"/>
      <c r="M3" s="36"/>
      <c r="N3" s="37"/>
    </row>
    <row r="4" spans="1:14" s="6" customFormat="1" ht="41.25" customHeight="1" x14ac:dyDescent="0.25">
      <c r="A4" s="32"/>
      <c r="B4" s="34"/>
      <c r="C4" s="41" t="s">
        <v>24</v>
      </c>
      <c r="D4" s="41" t="s">
        <v>25</v>
      </c>
      <c r="E4" s="14" t="s">
        <v>26</v>
      </c>
      <c r="F4" s="14" t="s">
        <v>27</v>
      </c>
      <c r="G4" s="41" t="s">
        <v>24</v>
      </c>
      <c r="H4" s="41" t="s">
        <v>25</v>
      </c>
      <c r="I4" s="14" t="s">
        <v>26</v>
      </c>
      <c r="J4" s="14" t="s">
        <v>27</v>
      </c>
      <c r="K4" s="41" t="s">
        <v>24</v>
      </c>
      <c r="L4" s="41" t="s">
        <v>25</v>
      </c>
      <c r="M4" s="14" t="s">
        <v>26</v>
      </c>
      <c r="N4" s="14" t="s">
        <v>27</v>
      </c>
    </row>
    <row r="5" spans="1:14" ht="16.5" customHeight="1" x14ac:dyDescent="0.25">
      <c r="A5" s="24" t="s">
        <v>88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</row>
    <row r="6" spans="1:14" s="4" customFormat="1" ht="16.5" customHeight="1" x14ac:dyDescent="0.25">
      <c r="A6" s="3">
        <v>1</v>
      </c>
      <c r="B6" s="9" t="s">
        <v>1</v>
      </c>
      <c r="C6" s="38">
        <v>374161</v>
      </c>
      <c r="D6" s="38">
        <v>347096</v>
      </c>
      <c r="E6" s="15">
        <v>5206.6546000000017</v>
      </c>
      <c r="F6" s="15">
        <v>7795.8886999999995</v>
      </c>
      <c r="G6" s="38">
        <v>350089</v>
      </c>
      <c r="H6" s="38">
        <v>382622</v>
      </c>
      <c r="I6" s="15">
        <v>5261.3673999999983</v>
      </c>
      <c r="J6" s="15">
        <v>7782.737799999999</v>
      </c>
      <c r="K6" s="38">
        <v>354003</v>
      </c>
      <c r="L6" s="38">
        <v>374687</v>
      </c>
      <c r="M6" s="15">
        <v>4838.1795000000002</v>
      </c>
      <c r="N6" s="15">
        <v>7526.8216000000002</v>
      </c>
    </row>
    <row r="7" spans="1:14" s="4" customFormat="1" ht="16.5" customHeight="1" x14ac:dyDescent="0.25">
      <c r="A7" s="3">
        <v>2</v>
      </c>
      <c r="B7" s="9" t="s">
        <v>49</v>
      </c>
      <c r="C7" s="38">
        <v>283449</v>
      </c>
      <c r="D7" s="38">
        <v>227861</v>
      </c>
      <c r="E7" s="16">
        <v>1091.0219999999999</v>
      </c>
      <c r="F7" s="16">
        <v>2687.6635000000001</v>
      </c>
      <c r="G7" s="38">
        <v>212634</v>
      </c>
      <c r="H7" s="38">
        <v>309368</v>
      </c>
      <c r="I7" s="16">
        <v>946.80499999999995</v>
      </c>
      <c r="J7" s="16">
        <v>2856.9512999999997</v>
      </c>
      <c r="K7" s="38">
        <v>190875</v>
      </c>
      <c r="L7" s="38">
        <v>293257</v>
      </c>
      <c r="M7" s="16">
        <v>2339.3081999999999</v>
      </c>
      <c r="N7" s="16">
        <v>4122.4003000000002</v>
      </c>
    </row>
    <row r="8" spans="1:14" s="4" customFormat="1" ht="16.5" customHeight="1" x14ac:dyDescent="0.25">
      <c r="A8" s="3">
        <v>3</v>
      </c>
      <c r="B8" s="9" t="s">
        <v>86</v>
      </c>
      <c r="C8" s="38">
        <v>12063</v>
      </c>
      <c r="D8" s="38">
        <v>14186</v>
      </c>
      <c r="E8" s="15">
        <v>0</v>
      </c>
      <c r="F8" s="15">
        <v>50.07</v>
      </c>
      <c r="G8" s="38">
        <v>14283</v>
      </c>
      <c r="H8" s="38">
        <v>26623</v>
      </c>
      <c r="I8" s="15">
        <v>0</v>
      </c>
      <c r="J8" s="15">
        <v>60.258000000000003</v>
      </c>
      <c r="K8" s="38">
        <v>14548</v>
      </c>
      <c r="L8" s="38">
        <v>25576</v>
      </c>
      <c r="M8" s="15">
        <v>0</v>
      </c>
      <c r="N8" s="15">
        <v>99.957999999999998</v>
      </c>
    </row>
    <row r="9" spans="1:14" s="4" customFormat="1" ht="16.5" customHeight="1" x14ac:dyDescent="0.25">
      <c r="A9" s="3">
        <v>4</v>
      </c>
      <c r="B9" s="9" t="s">
        <v>70</v>
      </c>
      <c r="C9" s="38">
        <v>1739</v>
      </c>
      <c r="D9" s="38">
        <v>1693</v>
      </c>
      <c r="E9" s="15">
        <v>0</v>
      </c>
      <c r="F9" s="15">
        <v>0</v>
      </c>
      <c r="G9" s="38">
        <v>1601</v>
      </c>
      <c r="H9" s="38">
        <v>1577</v>
      </c>
      <c r="I9" s="15">
        <v>0</v>
      </c>
      <c r="J9" s="15">
        <v>0</v>
      </c>
      <c r="K9" s="38">
        <v>515</v>
      </c>
      <c r="L9" s="38">
        <v>587</v>
      </c>
      <c r="M9" s="15">
        <v>0</v>
      </c>
      <c r="N9" s="15">
        <v>0</v>
      </c>
    </row>
    <row r="10" spans="1:14" s="4" customFormat="1" ht="16.5" customHeight="1" x14ac:dyDescent="0.25">
      <c r="A10" s="3">
        <v>5</v>
      </c>
      <c r="B10" s="9" t="s">
        <v>50</v>
      </c>
      <c r="C10" s="38">
        <v>589851</v>
      </c>
      <c r="D10" s="38">
        <v>530223</v>
      </c>
      <c r="E10" s="15">
        <v>855.85299999999995</v>
      </c>
      <c r="F10" s="15">
        <v>2895.598</v>
      </c>
      <c r="G10" s="38">
        <v>517887</v>
      </c>
      <c r="H10" s="38">
        <v>620821</v>
      </c>
      <c r="I10" s="15">
        <v>787.28300000000002</v>
      </c>
      <c r="J10" s="15">
        <v>2899.8159999999998</v>
      </c>
      <c r="K10" s="38">
        <v>510415</v>
      </c>
      <c r="L10" s="38">
        <v>599301</v>
      </c>
      <c r="M10" s="15">
        <v>727.95399999999995</v>
      </c>
      <c r="N10" s="15">
        <v>3153.7040000000002</v>
      </c>
    </row>
    <row r="11" spans="1:14" s="4" customFormat="1" ht="16.5" customHeight="1" x14ac:dyDescent="0.25">
      <c r="A11" s="3">
        <v>6</v>
      </c>
      <c r="B11" s="9" t="s">
        <v>51</v>
      </c>
      <c r="C11" s="38">
        <v>66757</v>
      </c>
      <c r="D11" s="38">
        <v>58089</v>
      </c>
      <c r="E11" s="15">
        <v>60.006080000000004</v>
      </c>
      <c r="F11" s="15">
        <v>658.60273000000007</v>
      </c>
      <c r="G11" s="38">
        <v>38797</v>
      </c>
      <c r="H11" s="38">
        <v>63779</v>
      </c>
      <c r="I11" s="15">
        <v>66.912000000000006</v>
      </c>
      <c r="J11" s="15">
        <v>491.04983000000004</v>
      </c>
      <c r="K11" s="38">
        <v>36542</v>
      </c>
      <c r="L11" s="38">
        <v>57610</v>
      </c>
      <c r="M11" s="15">
        <v>57.711680000000001</v>
      </c>
      <c r="N11" s="15">
        <v>499.16055999999998</v>
      </c>
    </row>
    <row r="12" spans="1:14" s="4" customFormat="1" ht="16.5" customHeight="1" x14ac:dyDescent="0.25">
      <c r="A12" s="3">
        <v>7</v>
      </c>
      <c r="B12" s="9" t="s">
        <v>87</v>
      </c>
      <c r="C12" s="38">
        <v>131138</v>
      </c>
      <c r="D12" s="38">
        <v>114972</v>
      </c>
      <c r="E12" s="15">
        <v>1618.6745900000003</v>
      </c>
      <c r="F12" s="15">
        <v>1891.0629199999998</v>
      </c>
      <c r="G12" s="38">
        <v>112167</v>
      </c>
      <c r="H12" s="38">
        <v>127089</v>
      </c>
      <c r="I12" s="15">
        <v>1460.0778599999999</v>
      </c>
      <c r="J12" s="15">
        <v>1653.6326299999998</v>
      </c>
      <c r="K12" s="38">
        <v>100683</v>
      </c>
      <c r="L12" s="38">
        <v>112525</v>
      </c>
      <c r="M12" s="15">
        <v>1177.6277700000001</v>
      </c>
      <c r="N12" s="15">
        <v>1778.1772699999999</v>
      </c>
    </row>
    <row r="13" spans="1:14" ht="16.5" customHeight="1" x14ac:dyDescent="0.25">
      <c r="A13" s="25" t="s">
        <v>89</v>
      </c>
      <c r="B13" s="25"/>
      <c r="C13" s="42">
        <f>SUM(C6:C12)</f>
        <v>1459158</v>
      </c>
      <c r="D13" s="42">
        <f>SUM(D6:D12)</f>
        <v>1294120</v>
      </c>
      <c r="E13" s="7">
        <f t="shared" ref="E13:N13" si="0">SUM(E6:E12)</f>
        <v>8832.2102700000014</v>
      </c>
      <c r="F13" s="7">
        <f t="shared" si="0"/>
        <v>15978.885850000001</v>
      </c>
      <c r="G13" s="42">
        <f t="shared" si="0"/>
        <v>1247458</v>
      </c>
      <c r="H13" s="42">
        <f t="shared" si="0"/>
        <v>1531879</v>
      </c>
      <c r="I13" s="7">
        <f t="shared" si="0"/>
        <v>8522.4452599999986</v>
      </c>
      <c r="J13" s="7">
        <f t="shared" si="0"/>
        <v>15744.44556</v>
      </c>
      <c r="K13" s="42">
        <f t="shared" si="0"/>
        <v>1207581</v>
      </c>
      <c r="L13" s="42">
        <f t="shared" si="0"/>
        <v>1463543</v>
      </c>
      <c r="M13" s="7">
        <f t="shared" si="0"/>
        <v>9140.7811499999989</v>
      </c>
      <c r="N13" s="7">
        <f t="shared" si="0"/>
        <v>17180.221730000001</v>
      </c>
    </row>
    <row r="14" spans="1:14" ht="16.5" customHeight="1" x14ac:dyDescent="0.25">
      <c r="A14" s="26" t="s">
        <v>90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</row>
    <row r="15" spans="1:14" ht="16.5" customHeight="1" x14ac:dyDescent="0.25">
      <c r="A15" s="10">
        <v>1</v>
      </c>
      <c r="B15" s="9" t="s">
        <v>71</v>
      </c>
      <c r="C15" s="38">
        <v>1102</v>
      </c>
      <c r="D15" s="38">
        <v>450</v>
      </c>
      <c r="E15" s="15">
        <v>0</v>
      </c>
      <c r="F15" s="15">
        <v>0.84399999999999997</v>
      </c>
      <c r="G15" s="38">
        <v>454</v>
      </c>
      <c r="H15" s="38">
        <v>1723</v>
      </c>
      <c r="I15" s="15">
        <v>0.38300000000000001</v>
      </c>
      <c r="J15" s="15">
        <v>11.163</v>
      </c>
      <c r="K15" s="38">
        <v>326</v>
      </c>
      <c r="L15" s="38">
        <v>1290</v>
      </c>
      <c r="M15" s="15">
        <v>0</v>
      </c>
      <c r="N15" s="15">
        <v>0.51</v>
      </c>
    </row>
    <row r="16" spans="1:14" ht="16.5" customHeight="1" x14ac:dyDescent="0.25">
      <c r="A16" s="10">
        <v>2</v>
      </c>
      <c r="B16" s="9" t="s">
        <v>2</v>
      </c>
      <c r="C16" s="38">
        <v>4718</v>
      </c>
      <c r="D16" s="38">
        <v>4519</v>
      </c>
      <c r="E16" s="16">
        <v>11.801</v>
      </c>
      <c r="F16" s="16">
        <v>64.076999999999998</v>
      </c>
      <c r="G16" s="38">
        <v>4425</v>
      </c>
      <c r="H16" s="38">
        <v>4417</v>
      </c>
      <c r="I16" s="15">
        <v>9.5719999999999992</v>
      </c>
      <c r="J16" s="15">
        <v>26.25</v>
      </c>
      <c r="K16" s="38">
        <v>5476</v>
      </c>
      <c r="L16" s="38">
        <v>6609</v>
      </c>
      <c r="M16" s="15">
        <v>21.24</v>
      </c>
      <c r="N16" s="15">
        <v>110.14100000000001</v>
      </c>
    </row>
    <row r="17" spans="1:17" ht="16.5" customHeight="1" x14ac:dyDescent="0.25">
      <c r="A17" s="10">
        <v>3</v>
      </c>
      <c r="B17" s="9" t="s">
        <v>3</v>
      </c>
      <c r="C17" s="38">
        <v>0</v>
      </c>
      <c r="D17" s="38">
        <v>0</v>
      </c>
      <c r="E17" s="15">
        <v>6419.0540000000001</v>
      </c>
      <c r="F17" s="15">
        <v>6776.5190000000002</v>
      </c>
      <c r="G17" s="38">
        <v>0</v>
      </c>
      <c r="H17" s="38">
        <v>0</v>
      </c>
      <c r="I17" s="15">
        <v>6264.7079999999996</v>
      </c>
      <c r="J17" s="15">
        <v>6880.7839999999997</v>
      </c>
      <c r="K17" s="39">
        <v>0</v>
      </c>
      <c r="L17" s="39">
        <v>0</v>
      </c>
      <c r="M17" s="16">
        <v>5555.7280000000001</v>
      </c>
      <c r="N17" s="16">
        <v>6094.0159999999996</v>
      </c>
    </row>
    <row r="18" spans="1:17" ht="16.5" customHeight="1" x14ac:dyDescent="0.25">
      <c r="A18" s="10">
        <v>4</v>
      </c>
      <c r="B18" s="9" t="s">
        <v>4</v>
      </c>
      <c r="C18" s="38">
        <v>81453</v>
      </c>
      <c r="D18" s="38">
        <v>73016</v>
      </c>
      <c r="E18" s="15">
        <v>134.59299999999999</v>
      </c>
      <c r="F18" s="15">
        <v>1132.9349999999999</v>
      </c>
      <c r="G18" s="38">
        <v>68152</v>
      </c>
      <c r="H18" s="38">
        <v>81667</v>
      </c>
      <c r="I18" s="15">
        <v>80.992999999999995</v>
      </c>
      <c r="J18" s="15">
        <v>1023.734</v>
      </c>
      <c r="K18" s="38">
        <v>67012</v>
      </c>
      <c r="L18" s="38">
        <v>78812</v>
      </c>
      <c r="M18" s="15">
        <v>157.06</v>
      </c>
      <c r="N18" s="15">
        <v>904.17499999999995</v>
      </c>
    </row>
    <row r="19" spans="1:17" ht="16.5" customHeight="1" x14ac:dyDescent="0.25">
      <c r="A19" s="10">
        <v>5</v>
      </c>
      <c r="B19" s="9" t="s">
        <v>58</v>
      </c>
      <c r="C19" s="38">
        <v>50779</v>
      </c>
      <c r="D19" s="38">
        <v>37113</v>
      </c>
      <c r="E19" s="15">
        <v>13.33</v>
      </c>
      <c r="F19" s="15">
        <v>744.64499999999998</v>
      </c>
      <c r="G19" s="38">
        <v>37339</v>
      </c>
      <c r="H19" s="38">
        <v>50188</v>
      </c>
      <c r="I19" s="15">
        <v>92.564999999999998</v>
      </c>
      <c r="J19" s="15">
        <v>692.53399999999999</v>
      </c>
      <c r="K19" s="38">
        <v>34421</v>
      </c>
      <c r="L19" s="38">
        <v>48185</v>
      </c>
      <c r="M19" s="15">
        <v>70.173000000000002</v>
      </c>
      <c r="N19" s="15">
        <v>657.57</v>
      </c>
    </row>
    <row r="20" spans="1:17" ht="16.5" customHeight="1" x14ac:dyDescent="0.25">
      <c r="A20" s="10">
        <v>6</v>
      </c>
      <c r="B20" s="9" t="s">
        <v>52</v>
      </c>
      <c r="C20" s="39">
        <v>53608</v>
      </c>
      <c r="D20" s="39">
        <v>41698</v>
      </c>
      <c r="E20" s="15">
        <v>122.52800000000001</v>
      </c>
      <c r="F20" s="15">
        <v>348.74900000000002</v>
      </c>
      <c r="G20" s="38">
        <v>53552</v>
      </c>
      <c r="H20" s="38">
        <v>50798</v>
      </c>
      <c r="I20" s="15">
        <v>100.81699999999999</v>
      </c>
      <c r="J20" s="15">
        <v>401.70299999999997</v>
      </c>
      <c r="K20" s="38">
        <v>55957</v>
      </c>
      <c r="L20" s="38">
        <v>53286</v>
      </c>
      <c r="M20" s="15">
        <v>155.75299999999999</v>
      </c>
      <c r="N20" s="15">
        <v>477.63789000000003</v>
      </c>
    </row>
    <row r="21" spans="1:17" s="5" customFormat="1" ht="16.5" customHeight="1" x14ac:dyDescent="0.25">
      <c r="A21" s="10">
        <v>7</v>
      </c>
      <c r="B21" s="11" t="s">
        <v>40</v>
      </c>
      <c r="C21" s="39">
        <v>9162</v>
      </c>
      <c r="D21" s="39">
        <v>8615</v>
      </c>
      <c r="E21" s="15">
        <v>186.19200000000001</v>
      </c>
      <c r="F21" s="15">
        <v>216.50800000000001</v>
      </c>
      <c r="G21" s="38">
        <v>8142</v>
      </c>
      <c r="H21" s="38">
        <v>7869</v>
      </c>
      <c r="I21" s="15">
        <v>172.69900000000001</v>
      </c>
      <c r="J21" s="15">
        <v>191.44399999999999</v>
      </c>
      <c r="K21" s="38">
        <v>8220</v>
      </c>
      <c r="L21" s="38">
        <v>7609</v>
      </c>
      <c r="M21" s="15">
        <v>220.15799999999999</v>
      </c>
      <c r="N21" s="15">
        <v>218.77799999999999</v>
      </c>
      <c r="O21" s="1"/>
      <c r="P21" s="1"/>
      <c r="Q21" s="1"/>
    </row>
    <row r="22" spans="1:17" s="5" customFormat="1" ht="16.5" customHeight="1" x14ac:dyDescent="0.25">
      <c r="A22" s="10">
        <v>8</v>
      </c>
      <c r="B22" s="9" t="s">
        <v>79</v>
      </c>
      <c r="C22" s="38">
        <v>7323</v>
      </c>
      <c r="D22" s="38">
        <v>5696</v>
      </c>
      <c r="E22" s="15">
        <v>1.5129999999999999</v>
      </c>
      <c r="F22" s="15">
        <v>48.008000000000003</v>
      </c>
      <c r="G22" s="39">
        <v>5870</v>
      </c>
      <c r="H22" s="39">
        <v>8122</v>
      </c>
      <c r="I22" s="16">
        <v>0.47299999999999998</v>
      </c>
      <c r="J22" s="16">
        <v>87.084000000000003</v>
      </c>
      <c r="K22" s="39">
        <v>4272</v>
      </c>
      <c r="L22" s="39">
        <v>7588</v>
      </c>
      <c r="M22" s="16">
        <v>0.27500000000000002</v>
      </c>
      <c r="N22" s="16">
        <v>70.567999999999998</v>
      </c>
      <c r="O22" s="1"/>
      <c r="P22" s="1"/>
      <c r="Q22" s="1"/>
    </row>
    <row r="23" spans="1:17" s="5" customFormat="1" ht="16.5" customHeight="1" x14ac:dyDescent="0.25">
      <c r="A23" s="10">
        <v>9</v>
      </c>
      <c r="B23" s="9" t="s">
        <v>35</v>
      </c>
      <c r="C23" s="38">
        <v>11591</v>
      </c>
      <c r="D23" s="38">
        <v>12090</v>
      </c>
      <c r="E23" s="15">
        <v>106.289</v>
      </c>
      <c r="F23" s="15">
        <v>264.17700000000002</v>
      </c>
      <c r="G23" s="38">
        <v>11730</v>
      </c>
      <c r="H23" s="38">
        <v>12559</v>
      </c>
      <c r="I23" s="15">
        <v>138.85300000000001</v>
      </c>
      <c r="J23" s="15">
        <v>252.89599999999999</v>
      </c>
      <c r="K23" s="38">
        <v>10074</v>
      </c>
      <c r="L23" s="38">
        <v>9876</v>
      </c>
      <c r="M23" s="15">
        <v>108.809</v>
      </c>
      <c r="N23" s="15">
        <v>352.32100000000003</v>
      </c>
      <c r="O23" s="1"/>
      <c r="P23" s="1"/>
      <c r="Q23" s="1"/>
    </row>
    <row r="24" spans="1:17" s="5" customFormat="1" ht="16.5" customHeight="1" x14ac:dyDescent="0.25">
      <c r="A24" s="10">
        <v>10</v>
      </c>
      <c r="B24" s="9" t="s">
        <v>36</v>
      </c>
      <c r="C24" s="38">
        <v>20701</v>
      </c>
      <c r="D24" s="38">
        <v>21635</v>
      </c>
      <c r="E24" s="15">
        <v>500.351</v>
      </c>
      <c r="F24" s="15">
        <v>867.8</v>
      </c>
      <c r="G24" s="38">
        <v>20587</v>
      </c>
      <c r="H24" s="38">
        <v>26783</v>
      </c>
      <c r="I24" s="15">
        <v>541.24</v>
      </c>
      <c r="J24" s="15">
        <v>911.87099999999998</v>
      </c>
      <c r="K24" s="38">
        <v>21851</v>
      </c>
      <c r="L24" s="38">
        <v>26731</v>
      </c>
      <c r="M24" s="15">
        <v>742.99900000000002</v>
      </c>
      <c r="N24" s="15">
        <v>1152.174</v>
      </c>
      <c r="O24" s="1"/>
      <c r="P24" s="1"/>
      <c r="Q24" s="1"/>
    </row>
    <row r="25" spans="1:17" s="5" customFormat="1" ht="16.5" customHeight="1" x14ac:dyDescent="0.25">
      <c r="A25" s="10">
        <v>11</v>
      </c>
      <c r="B25" s="9" t="s">
        <v>41</v>
      </c>
      <c r="C25" s="38">
        <v>6831</v>
      </c>
      <c r="D25" s="38">
        <v>6386</v>
      </c>
      <c r="E25" s="15">
        <v>6.875</v>
      </c>
      <c r="F25" s="15">
        <v>306.23500000000001</v>
      </c>
      <c r="G25" s="38">
        <v>7289</v>
      </c>
      <c r="H25" s="38">
        <v>7289</v>
      </c>
      <c r="I25" s="15">
        <v>30.939</v>
      </c>
      <c r="J25" s="15">
        <v>327.654</v>
      </c>
      <c r="K25" s="38">
        <v>6485</v>
      </c>
      <c r="L25" s="38">
        <v>6573</v>
      </c>
      <c r="M25" s="15">
        <v>12.195</v>
      </c>
      <c r="N25" s="15">
        <v>400.11599999999999</v>
      </c>
      <c r="O25" s="1"/>
      <c r="P25" s="1"/>
      <c r="Q25" s="1"/>
    </row>
    <row r="26" spans="1:17" s="5" customFormat="1" ht="16.5" customHeight="1" x14ac:dyDescent="0.25">
      <c r="A26" s="10">
        <v>12</v>
      </c>
      <c r="B26" s="11" t="s">
        <v>47</v>
      </c>
      <c r="C26" s="39">
        <v>461</v>
      </c>
      <c r="D26" s="39">
        <v>515</v>
      </c>
      <c r="E26" s="15">
        <v>0</v>
      </c>
      <c r="F26" s="15">
        <v>4.3879999999999999</v>
      </c>
      <c r="G26" s="38">
        <v>323</v>
      </c>
      <c r="H26" s="38">
        <v>596</v>
      </c>
      <c r="I26" s="15">
        <v>0</v>
      </c>
      <c r="J26" s="15">
        <v>1.871</v>
      </c>
      <c r="K26" s="38">
        <v>294</v>
      </c>
      <c r="L26" s="38">
        <v>518</v>
      </c>
      <c r="M26" s="15">
        <v>0</v>
      </c>
      <c r="N26" s="15">
        <v>3.6139999999999999</v>
      </c>
      <c r="O26" s="1"/>
      <c r="P26" s="1"/>
      <c r="Q26" s="1"/>
    </row>
    <row r="27" spans="1:17" s="5" customFormat="1" ht="16.5" customHeight="1" x14ac:dyDescent="0.25">
      <c r="A27" s="10">
        <v>13</v>
      </c>
      <c r="B27" s="9" t="s">
        <v>59</v>
      </c>
      <c r="C27" s="38">
        <v>2743</v>
      </c>
      <c r="D27" s="38">
        <v>2682</v>
      </c>
      <c r="E27" s="15">
        <v>0</v>
      </c>
      <c r="F27" s="15">
        <v>42.394680000000001</v>
      </c>
      <c r="G27" s="38">
        <v>3674</v>
      </c>
      <c r="H27" s="38">
        <v>3483</v>
      </c>
      <c r="I27" s="15">
        <v>0</v>
      </c>
      <c r="J27" s="15">
        <v>38.198099999999997</v>
      </c>
      <c r="K27" s="38">
        <v>2720</v>
      </c>
      <c r="L27" s="38">
        <v>2763</v>
      </c>
      <c r="M27" s="15">
        <v>0.154</v>
      </c>
      <c r="N27" s="15">
        <v>35.261099999999999</v>
      </c>
      <c r="O27" s="1"/>
      <c r="P27" s="1"/>
      <c r="Q27" s="1"/>
    </row>
    <row r="28" spans="1:17" s="5" customFormat="1" ht="16.5" customHeight="1" x14ac:dyDescent="0.25">
      <c r="A28" s="10">
        <v>14</v>
      </c>
      <c r="B28" s="9" t="s">
        <v>39</v>
      </c>
      <c r="C28" s="38">
        <v>4773</v>
      </c>
      <c r="D28" s="38">
        <v>5141</v>
      </c>
      <c r="E28" s="15">
        <v>459.50299999999999</v>
      </c>
      <c r="F28" s="15">
        <v>440.12099999999998</v>
      </c>
      <c r="G28" s="38">
        <v>5201</v>
      </c>
      <c r="H28" s="38">
        <v>5857</v>
      </c>
      <c r="I28" s="15">
        <v>363.80700000000002</v>
      </c>
      <c r="J28" s="15">
        <v>311.93400000000003</v>
      </c>
      <c r="K28" s="38">
        <v>4959</v>
      </c>
      <c r="L28" s="38">
        <v>5746</v>
      </c>
      <c r="M28" s="15">
        <v>362.80099999999999</v>
      </c>
      <c r="N28" s="15">
        <v>409.30900000000003</v>
      </c>
      <c r="O28" s="1"/>
      <c r="P28" s="1"/>
      <c r="Q28" s="1"/>
    </row>
    <row r="29" spans="1:17" s="5" customFormat="1" ht="16.5" customHeight="1" x14ac:dyDescent="0.25">
      <c r="A29" s="10">
        <v>15</v>
      </c>
      <c r="B29" s="9" t="s">
        <v>60</v>
      </c>
      <c r="C29" s="38">
        <v>8156</v>
      </c>
      <c r="D29" s="38">
        <v>6975</v>
      </c>
      <c r="E29" s="15">
        <v>72.264800000000008</v>
      </c>
      <c r="F29" s="15">
        <v>61.496600000000001</v>
      </c>
      <c r="G29" s="38">
        <v>6998</v>
      </c>
      <c r="H29" s="38">
        <v>8085</v>
      </c>
      <c r="I29" s="15">
        <v>69.615800000000007</v>
      </c>
      <c r="J29" s="15">
        <v>61.783999999999999</v>
      </c>
      <c r="K29" s="38">
        <v>7793</v>
      </c>
      <c r="L29" s="38">
        <v>6842</v>
      </c>
      <c r="M29" s="15">
        <v>71.694399999999987</v>
      </c>
      <c r="N29" s="15">
        <v>137.02500000000001</v>
      </c>
      <c r="O29" s="1"/>
      <c r="P29" s="1"/>
      <c r="Q29" s="1"/>
    </row>
    <row r="30" spans="1:17" s="5" customFormat="1" ht="16.5" customHeight="1" x14ac:dyDescent="0.25">
      <c r="A30" s="10">
        <v>16</v>
      </c>
      <c r="B30" s="9" t="s">
        <v>61</v>
      </c>
      <c r="C30" s="38">
        <v>52</v>
      </c>
      <c r="D30" s="38">
        <v>48</v>
      </c>
      <c r="E30" s="15">
        <v>21.282</v>
      </c>
      <c r="F30" s="15">
        <v>43.851999999999997</v>
      </c>
      <c r="G30" s="38">
        <v>69</v>
      </c>
      <c r="H30" s="38">
        <v>58</v>
      </c>
      <c r="I30" s="15">
        <v>32.878</v>
      </c>
      <c r="J30" s="15">
        <v>42.133000000000003</v>
      </c>
      <c r="K30" s="38">
        <v>52</v>
      </c>
      <c r="L30" s="38">
        <v>96</v>
      </c>
      <c r="M30" s="15">
        <v>45.634</v>
      </c>
      <c r="N30" s="15">
        <v>42.747999999999998</v>
      </c>
      <c r="O30" s="1"/>
      <c r="P30" s="1"/>
      <c r="Q30" s="1"/>
    </row>
    <row r="31" spans="1:17" s="5" customFormat="1" ht="16.5" customHeight="1" x14ac:dyDescent="0.25">
      <c r="A31" s="10">
        <v>17</v>
      </c>
      <c r="B31" s="9" t="s">
        <v>69</v>
      </c>
      <c r="C31" s="38">
        <v>2394</v>
      </c>
      <c r="D31" s="38">
        <v>2281</v>
      </c>
      <c r="E31" s="15">
        <v>0.54800000000000004</v>
      </c>
      <c r="F31" s="15">
        <v>21.536999999999999</v>
      </c>
      <c r="G31" s="38">
        <v>2264</v>
      </c>
      <c r="H31" s="38">
        <v>2348</v>
      </c>
      <c r="I31" s="15">
        <v>0.216</v>
      </c>
      <c r="J31" s="15">
        <v>13.026999999999999</v>
      </c>
      <c r="K31" s="38">
        <v>2150</v>
      </c>
      <c r="L31" s="38">
        <v>2357</v>
      </c>
      <c r="M31" s="15">
        <v>0.17399999999999999</v>
      </c>
      <c r="N31" s="15">
        <v>4.8499999999999996</v>
      </c>
      <c r="O31" s="1"/>
      <c r="P31" s="1"/>
      <c r="Q31" s="1"/>
    </row>
    <row r="32" spans="1:17" s="5" customFormat="1" ht="16.5" customHeight="1" x14ac:dyDescent="0.25">
      <c r="A32" s="10">
        <v>18</v>
      </c>
      <c r="B32" s="9" t="s">
        <v>72</v>
      </c>
      <c r="C32" s="38">
        <v>1658</v>
      </c>
      <c r="D32" s="38">
        <v>1531</v>
      </c>
      <c r="E32" s="15">
        <v>0</v>
      </c>
      <c r="F32" s="15">
        <v>11.776999999999999</v>
      </c>
      <c r="G32" s="38"/>
      <c r="H32" s="38"/>
      <c r="I32" s="15">
        <v>0</v>
      </c>
      <c r="J32" s="15">
        <v>0</v>
      </c>
      <c r="K32" s="38"/>
      <c r="L32" s="38"/>
      <c r="M32" s="16">
        <v>0</v>
      </c>
      <c r="N32" s="16">
        <v>0</v>
      </c>
      <c r="O32" s="1"/>
      <c r="P32" s="1"/>
      <c r="Q32" s="1"/>
    </row>
    <row r="33" spans="1:17" s="5" customFormat="1" ht="16.5" customHeight="1" x14ac:dyDescent="0.25">
      <c r="A33" s="10">
        <v>19</v>
      </c>
      <c r="B33" s="9" t="s">
        <v>73</v>
      </c>
      <c r="C33" s="38">
        <v>3068</v>
      </c>
      <c r="D33" s="38">
        <v>2234</v>
      </c>
      <c r="E33" s="15">
        <v>0</v>
      </c>
      <c r="F33" s="15">
        <v>0</v>
      </c>
      <c r="G33" s="38">
        <v>2694</v>
      </c>
      <c r="H33" s="38">
        <v>2949</v>
      </c>
      <c r="I33" s="15">
        <v>0</v>
      </c>
      <c r="J33" s="15">
        <v>0</v>
      </c>
      <c r="K33" s="38">
        <v>2066</v>
      </c>
      <c r="L33" s="38">
        <v>2140</v>
      </c>
      <c r="M33" s="15">
        <v>0</v>
      </c>
      <c r="N33" s="15">
        <v>0</v>
      </c>
      <c r="O33" s="1"/>
      <c r="P33" s="1"/>
      <c r="Q33" s="1"/>
    </row>
    <row r="34" spans="1:17" s="5" customFormat="1" ht="16.5" customHeight="1" x14ac:dyDescent="0.25">
      <c r="A34" s="10">
        <v>20</v>
      </c>
      <c r="B34" s="9" t="s">
        <v>5</v>
      </c>
      <c r="C34" s="38">
        <v>8633</v>
      </c>
      <c r="D34" s="38">
        <v>7715</v>
      </c>
      <c r="E34" s="15">
        <v>41.887999999999998</v>
      </c>
      <c r="F34" s="15">
        <v>90.715000000000003</v>
      </c>
      <c r="G34" s="39">
        <v>4398</v>
      </c>
      <c r="H34" s="39">
        <v>5937</v>
      </c>
      <c r="I34" s="15">
        <v>65.647000000000006</v>
      </c>
      <c r="J34" s="15">
        <v>120.505</v>
      </c>
      <c r="K34" s="38">
        <v>2792</v>
      </c>
      <c r="L34" s="38">
        <v>4203</v>
      </c>
      <c r="M34" s="15">
        <v>44.576000000000001</v>
      </c>
      <c r="N34" s="15">
        <v>82.254000000000005</v>
      </c>
      <c r="O34" s="1"/>
      <c r="P34" s="1"/>
      <c r="Q34" s="1"/>
    </row>
    <row r="35" spans="1:17" s="5" customFormat="1" ht="16.5" customHeight="1" x14ac:dyDescent="0.25">
      <c r="A35" s="10">
        <v>21</v>
      </c>
      <c r="B35" s="9" t="s">
        <v>65</v>
      </c>
      <c r="C35" s="38">
        <v>52384</v>
      </c>
      <c r="D35" s="38">
        <v>50897</v>
      </c>
      <c r="E35" s="15">
        <v>1305.3699999999999</v>
      </c>
      <c r="F35" s="15">
        <v>3275.06</v>
      </c>
      <c r="G35" s="39">
        <v>45638</v>
      </c>
      <c r="H35" s="39">
        <v>57959</v>
      </c>
      <c r="I35" s="15">
        <v>1676.31</v>
      </c>
      <c r="J35" s="15">
        <v>3476.26</v>
      </c>
      <c r="K35" s="38">
        <v>37001</v>
      </c>
      <c r="L35" s="38">
        <v>47168</v>
      </c>
      <c r="M35" s="15">
        <v>1555.39</v>
      </c>
      <c r="N35" s="15">
        <v>2854.43</v>
      </c>
      <c r="O35" s="1"/>
      <c r="P35" s="1"/>
      <c r="Q35" s="1"/>
    </row>
    <row r="36" spans="1:17" s="5" customFormat="1" ht="16.5" customHeight="1" x14ac:dyDescent="0.25">
      <c r="A36" s="10">
        <v>22</v>
      </c>
      <c r="B36" s="9" t="s">
        <v>76</v>
      </c>
      <c r="C36" s="38">
        <v>336</v>
      </c>
      <c r="D36" s="38">
        <v>287</v>
      </c>
      <c r="E36" s="15">
        <v>0</v>
      </c>
      <c r="F36" s="15">
        <v>0</v>
      </c>
      <c r="G36" s="38">
        <v>342</v>
      </c>
      <c r="H36" s="38">
        <v>344</v>
      </c>
      <c r="I36" s="15">
        <v>0</v>
      </c>
      <c r="J36" s="15">
        <v>0</v>
      </c>
      <c r="K36" s="38">
        <v>380</v>
      </c>
      <c r="L36" s="38">
        <v>352</v>
      </c>
      <c r="M36" s="15">
        <v>0</v>
      </c>
      <c r="N36" s="15">
        <v>0</v>
      </c>
      <c r="O36" s="1"/>
      <c r="P36" s="1"/>
      <c r="Q36" s="1"/>
    </row>
    <row r="37" spans="1:17" s="5" customFormat="1" ht="16.5" customHeight="1" x14ac:dyDescent="0.25">
      <c r="A37" s="10">
        <v>23</v>
      </c>
      <c r="B37" s="9" t="s">
        <v>6</v>
      </c>
      <c r="C37" s="38">
        <v>31422</v>
      </c>
      <c r="D37" s="38">
        <v>28329</v>
      </c>
      <c r="E37" s="15">
        <v>7906.2095999999992</v>
      </c>
      <c r="F37" s="15">
        <v>3132.9100899999999</v>
      </c>
      <c r="G37" s="38">
        <v>28035</v>
      </c>
      <c r="H37" s="38">
        <v>35601</v>
      </c>
      <c r="I37" s="15">
        <v>7540.0951999999997</v>
      </c>
      <c r="J37" s="15">
        <v>2610.9839899999997</v>
      </c>
      <c r="K37" s="38">
        <v>32859</v>
      </c>
      <c r="L37" s="38">
        <v>31571</v>
      </c>
      <c r="M37" s="15">
        <v>8401.1054999999997</v>
      </c>
      <c r="N37" s="15">
        <v>3850.3535999999999</v>
      </c>
      <c r="O37" s="1"/>
      <c r="P37" s="1"/>
      <c r="Q37" s="1"/>
    </row>
    <row r="38" spans="1:17" s="5" customFormat="1" ht="16.5" customHeight="1" x14ac:dyDescent="0.25">
      <c r="A38" s="10">
        <v>24</v>
      </c>
      <c r="B38" s="9" t="s">
        <v>53</v>
      </c>
      <c r="C38" s="38">
        <v>0</v>
      </c>
      <c r="D38" s="38">
        <v>0</v>
      </c>
      <c r="E38" s="15">
        <v>91.158000000000001</v>
      </c>
      <c r="F38" s="15">
        <v>133.77600000000001</v>
      </c>
      <c r="G38" s="38">
        <v>0</v>
      </c>
      <c r="H38" s="38">
        <v>0</v>
      </c>
      <c r="I38" s="15">
        <v>85.16</v>
      </c>
      <c r="J38" s="15">
        <v>112.429</v>
      </c>
      <c r="K38" s="38">
        <v>0</v>
      </c>
      <c r="L38" s="38">
        <v>0</v>
      </c>
      <c r="M38" s="15">
        <v>178.79400000000001</v>
      </c>
      <c r="N38" s="15">
        <v>260.25400000000002</v>
      </c>
      <c r="O38" s="1"/>
      <c r="P38" s="1"/>
      <c r="Q38" s="1"/>
    </row>
    <row r="39" spans="1:17" s="5" customFormat="1" ht="16.5" customHeight="1" x14ac:dyDescent="0.25">
      <c r="A39" s="10">
        <v>25</v>
      </c>
      <c r="B39" s="11" t="s">
        <v>7</v>
      </c>
      <c r="C39" s="38">
        <v>2669</v>
      </c>
      <c r="D39" s="38">
        <v>2524</v>
      </c>
      <c r="E39" s="15">
        <v>0.3795</v>
      </c>
      <c r="F39" s="15">
        <v>1.4952000000000001</v>
      </c>
      <c r="G39" s="39">
        <v>2522</v>
      </c>
      <c r="H39" s="39">
        <v>2516</v>
      </c>
      <c r="I39" s="15">
        <v>0.1371</v>
      </c>
      <c r="J39" s="15">
        <v>1.2969999999999999</v>
      </c>
      <c r="K39" s="38">
        <v>3426</v>
      </c>
      <c r="L39" s="38">
        <v>3764</v>
      </c>
      <c r="M39" s="15">
        <v>0.78679999999999994</v>
      </c>
      <c r="N39" s="15">
        <v>0.94220000000000004</v>
      </c>
      <c r="O39" s="1"/>
      <c r="P39" s="1"/>
      <c r="Q39" s="1"/>
    </row>
    <row r="40" spans="1:17" s="5" customFormat="1" ht="16.5" customHeight="1" x14ac:dyDescent="0.25">
      <c r="A40" s="10">
        <v>26</v>
      </c>
      <c r="B40" s="9" t="s">
        <v>80</v>
      </c>
      <c r="C40" s="38">
        <v>2075</v>
      </c>
      <c r="D40" s="38">
        <v>2265</v>
      </c>
      <c r="E40" s="15">
        <v>30.018000000000001</v>
      </c>
      <c r="F40" s="15">
        <v>567.83100000000002</v>
      </c>
      <c r="G40" s="38">
        <v>2097</v>
      </c>
      <c r="H40" s="38">
        <v>2917</v>
      </c>
      <c r="I40" s="15">
        <v>29.797999999999998</v>
      </c>
      <c r="J40" s="15">
        <v>511.53800000000001</v>
      </c>
      <c r="K40" s="38">
        <v>1881</v>
      </c>
      <c r="L40" s="38">
        <v>2478</v>
      </c>
      <c r="M40" s="15">
        <v>8.1890000000000001</v>
      </c>
      <c r="N40" s="15">
        <v>344.41800000000001</v>
      </c>
      <c r="O40" s="1"/>
      <c r="P40" s="1"/>
      <c r="Q40" s="1"/>
    </row>
    <row r="41" spans="1:17" s="5" customFormat="1" ht="16.5" customHeight="1" x14ac:dyDescent="0.25">
      <c r="A41" s="10">
        <v>27</v>
      </c>
      <c r="B41" s="9" t="s">
        <v>31</v>
      </c>
      <c r="C41" s="38">
        <v>257868</v>
      </c>
      <c r="D41" s="38">
        <v>217399</v>
      </c>
      <c r="E41" s="15">
        <v>4234.1984520000005</v>
      </c>
      <c r="F41" s="15">
        <v>11443.206323999999</v>
      </c>
      <c r="G41" s="38">
        <v>181818</v>
      </c>
      <c r="H41" s="38">
        <v>261293</v>
      </c>
      <c r="I41" s="15">
        <v>4268.7194960000006</v>
      </c>
      <c r="J41" s="15">
        <v>10833.839258</v>
      </c>
      <c r="K41" s="38">
        <v>181661</v>
      </c>
      <c r="L41" s="38">
        <v>238083</v>
      </c>
      <c r="M41" s="15">
        <v>4367.3767469999993</v>
      </c>
      <c r="N41" s="15">
        <v>11857.819742</v>
      </c>
      <c r="O41" s="1"/>
      <c r="P41" s="1"/>
      <c r="Q41" s="1"/>
    </row>
    <row r="42" spans="1:17" s="5" customFormat="1" ht="16.5" customHeight="1" x14ac:dyDescent="0.25">
      <c r="A42" s="10">
        <v>28</v>
      </c>
      <c r="B42" s="9" t="s">
        <v>32</v>
      </c>
      <c r="C42" s="38">
        <v>10876</v>
      </c>
      <c r="D42" s="38">
        <v>9177</v>
      </c>
      <c r="E42" s="15">
        <v>11.907</v>
      </c>
      <c r="F42" s="15">
        <v>349.67500000000001</v>
      </c>
      <c r="G42" s="38">
        <v>12535</v>
      </c>
      <c r="H42" s="38">
        <v>11978</v>
      </c>
      <c r="I42" s="15">
        <v>16.742999999999999</v>
      </c>
      <c r="J42" s="15">
        <v>316.3</v>
      </c>
      <c r="K42" s="38">
        <v>11089</v>
      </c>
      <c r="L42" s="38">
        <v>11738</v>
      </c>
      <c r="M42" s="15">
        <v>30.986000000000001</v>
      </c>
      <c r="N42" s="15">
        <v>424.322</v>
      </c>
      <c r="O42" s="1"/>
      <c r="P42" s="1"/>
      <c r="Q42" s="1"/>
    </row>
    <row r="43" spans="1:17" s="5" customFormat="1" ht="16.5" customHeight="1" x14ac:dyDescent="0.25">
      <c r="A43" s="10">
        <v>29</v>
      </c>
      <c r="B43" s="9" t="s">
        <v>81</v>
      </c>
      <c r="C43" s="38">
        <v>131769</v>
      </c>
      <c r="D43" s="38">
        <v>117784</v>
      </c>
      <c r="E43" s="15">
        <v>1522.6406999999999</v>
      </c>
      <c r="F43" s="15">
        <v>2460.1120000000001</v>
      </c>
      <c r="G43" s="38">
        <v>94977</v>
      </c>
      <c r="H43" s="38">
        <v>118331</v>
      </c>
      <c r="I43" s="15">
        <v>857.18230000000005</v>
      </c>
      <c r="J43" s="15">
        <v>1793.6063000000001</v>
      </c>
      <c r="K43" s="38">
        <v>104959</v>
      </c>
      <c r="L43" s="38">
        <v>124201</v>
      </c>
      <c r="M43" s="16">
        <v>1001.3145999999999</v>
      </c>
      <c r="N43" s="16">
        <v>2031.1835000000001</v>
      </c>
      <c r="O43" s="1"/>
      <c r="P43" s="1"/>
      <c r="Q43" s="1"/>
    </row>
    <row r="44" spans="1:17" s="5" customFormat="1" ht="16.5" customHeight="1" x14ac:dyDescent="0.25">
      <c r="A44" s="10">
        <v>30</v>
      </c>
      <c r="B44" s="9" t="s">
        <v>8</v>
      </c>
      <c r="C44" s="38">
        <v>0</v>
      </c>
      <c r="D44" s="38">
        <v>0</v>
      </c>
      <c r="E44" s="15">
        <v>997.76900000000001</v>
      </c>
      <c r="F44" s="15">
        <v>2319.0740000000001</v>
      </c>
      <c r="G44" s="38">
        <v>0</v>
      </c>
      <c r="H44" s="38">
        <v>0</v>
      </c>
      <c r="I44" s="15">
        <v>1013.421</v>
      </c>
      <c r="J44" s="15">
        <v>2429.7628100000002</v>
      </c>
      <c r="K44" s="38">
        <v>0</v>
      </c>
      <c r="L44" s="38">
        <v>0</v>
      </c>
      <c r="M44" s="16">
        <v>935.50300000000004</v>
      </c>
      <c r="N44" s="16">
        <v>2556.7869999999998</v>
      </c>
      <c r="O44" s="1"/>
      <c r="P44" s="1"/>
      <c r="Q44" s="1"/>
    </row>
    <row r="45" spans="1:17" s="5" customFormat="1" ht="16.5" customHeight="1" x14ac:dyDescent="0.25">
      <c r="A45" s="10">
        <v>31</v>
      </c>
      <c r="B45" s="9" t="s">
        <v>82</v>
      </c>
      <c r="C45" s="38">
        <v>7803</v>
      </c>
      <c r="D45" s="38">
        <v>6981</v>
      </c>
      <c r="E45" s="15">
        <v>140.49799999999999</v>
      </c>
      <c r="F45" s="15">
        <v>498.226</v>
      </c>
      <c r="G45" s="38">
        <v>4250</v>
      </c>
      <c r="H45" s="38">
        <v>8010</v>
      </c>
      <c r="I45" s="15">
        <v>147.01400000000001</v>
      </c>
      <c r="J45" s="15">
        <v>376.78300000000002</v>
      </c>
      <c r="K45" s="38">
        <v>4136</v>
      </c>
      <c r="L45" s="38">
        <v>5843</v>
      </c>
      <c r="M45" s="16">
        <v>150.054</v>
      </c>
      <c r="N45" s="16">
        <v>371.92700000000002</v>
      </c>
      <c r="O45" s="1"/>
      <c r="P45" s="1"/>
      <c r="Q45" s="1"/>
    </row>
    <row r="46" spans="1:17" s="5" customFormat="1" ht="16.5" customHeight="1" x14ac:dyDescent="0.25">
      <c r="A46" s="10">
        <v>32</v>
      </c>
      <c r="B46" s="9" t="s">
        <v>97</v>
      </c>
      <c r="C46" s="38">
        <v>2842</v>
      </c>
      <c r="D46" s="38">
        <v>2578</v>
      </c>
      <c r="E46" s="15">
        <v>12.228</v>
      </c>
      <c r="F46" s="15">
        <v>28.704000000000001</v>
      </c>
      <c r="G46" s="38">
        <v>2214</v>
      </c>
      <c r="H46" s="38">
        <v>2297</v>
      </c>
      <c r="I46" s="15">
        <v>12.425000000000001</v>
      </c>
      <c r="J46" s="15">
        <v>19.635000000000002</v>
      </c>
      <c r="K46" s="38">
        <v>1237</v>
      </c>
      <c r="L46" s="38">
        <v>1760</v>
      </c>
      <c r="M46" s="16">
        <v>13.961</v>
      </c>
      <c r="N46" s="16">
        <v>18.376000000000001</v>
      </c>
      <c r="O46" s="1"/>
      <c r="P46" s="1"/>
      <c r="Q46" s="1"/>
    </row>
    <row r="47" spans="1:17" s="5" customFormat="1" ht="16.5" customHeight="1" x14ac:dyDescent="0.25">
      <c r="A47" s="10">
        <v>33</v>
      </c>
      <c r="B47" s="9" t="s">
        <v>44</v>
      </c>
      <c r="C47" s="38">
        <v>21545</v>
      </c>
      <c r="D47" s="38">
        <v>17809</v>
      </c>
      <c r="E47" s="15">
        <v>15.779</v>
      </c>
      <c r="F47" s="15">
        <v>241.00024999999999</v>
      </c>
      <c r="G47" s="38">
        <v>17491</v>
      </c>
      <c r="H47" s="38">
        <v>22216</v>
      </c>
      <c r="I47" s="15">
        <v>9.2210000000000001</v>
      </c>
      <c r="J47" s="15">
        <v>183.05799999999999</v>
      </c>
      <c r="K47" s="38">
        <v>17862</v>
      </c>
      <c r="L47" s="38">
        <v>20628</v>
      </c>
      <c r="M47" s="16">
        <v>12.638999999999999</v>
      </c>
      <c r="N47" s="16">
        <v>164.035</v>
      </c>
      <c r="O47" s="1"/>
      <c r="P47" s="1"/>
      <c r="Q47" s="1"/>
    </row>
    <row r="48" spans="1:17" s="5" customFormat="1" ht="16.5" customHeight="1" x14ac:dyDescent="0.25">
      <c r="A48" s="10">
        <v>34</v>
      </c>
      <c r="B48" s="9" t="s">
        <v>54</v>
      </c>
      <c r="C48" s="38">
        <v>18511</v>
      </c>
      <c r="D48" s="38">
        <v>18575</v>
      </c>
      <c r="E48" s="15">
        <v>11.586</v>
      </c>
      <c r="F48" s="15">
        <v>165.76300000000001</v>
      </c>
      <c r="G48" s="38">
        <v>15710</v>
      </c>
      <c r="H48" s="38">
        <v>20215</v>
      </c>
      <c r="I48" s="15">
        <v>4.2350000000000003</v>
      </c>
      <c r="J48" s="15">
        <v>173.65199999999999</v>
      </c>
      <c r="K48" s="38">
        <v>16895</v>
      </c>
      <c r="L48" s="38">
        <v>22521</v>
      </c>
      <c r="M48" s="16">
        <v>10.978999999999999</v>
      </c>
      <c r="N48" s="16">
        <v>235.423</v>
      </c>
      <c r="O48" s="1"/>
      <c r="P48" s="1"/>
      <c r="Q48" s="1"/>
    </row>
    <row r="49" spans="1:17" s="5" customFormat="1" ht="16.5" customHeight="1" x14ac:dyDescent="0.25">
      <c r="A49" s="10">
        <v>35</v>
      </c>
      <c r="B49" s="9" t="s">
        <v>33</v>
      </c>
      <c r="C49" s="38">
        <v>53589</v>
      </c>
      <c r="D49" s="38">
        <v>46239</v>
      </c>
      <c r="E49" s="15">
        <v>3.0049999999999999</v>
      </c>
      <c r="F49" s="15">
        <v>531.18399999999997</v>
      </c>
      <c r="G49" s="38">
        <v>37075</v>
      </c>
      <c r="H49" s="38">
        <v>56091</v>
      </c>
      <c r="I49" s="15">
        <v>3.7469999999999999</v>
      </c>
      <c r="J49" s="15">
        <v>454.47300000000001</v>
      </c>
      <c r="K49" s="38">
        <v>31776</v>
      </c>
      <c r="L49" s="38">
        <v>51643</v>
      </c>
      <c r="M49" s="16">
        <v>5.1950000000000003</v>
      </c>
      <c r="N49" s="16">
        <v>417.096</v>
      </c>
      <c r="O49" s="1"/>
      <c r="P49" s="1"/>
      <c r="Q49" s="1"/>
    </row>
    <row r="50" spans="1:17" s="5" customFormat="1" ht="16.5" customHeight="1" x14ac:dyDescent="0.25">
      <c r="A50" s="10">
        <v>36</v>
      </c>
      <c r="B50" s="9" t="s">
        <v>83</v>
      </c>
      <c r="C50" s="38">
        <v>203</v>
      </c>
      <c r="D50" s="38">
        <v>123</v>
      </c>
      <c r="E50" s="15">
        <v>3.4329999999999998</v>
      </c>
      <c r="F50" s="15">
        <v>0.19600000000000001</v>
      </c>
      <c r="G50" s="38"/>
      <c r="H50" s="38"/>
      <c r="I50" s="15">
        <v>0</v>
      </c>
      <c r="J50" s="15">
        <v>0</v>
      </c>
      <c r="K50" s="38">
        <v>443</v>
      </c>
      <c r="L50" s="38">
        <v>393</v>
      </c>
      <c r="M50" s="16">
        <v>0.41799999999999998</v>
      </c>
      <c r="N50" s="16">
        <v>7.3630000000000004</v>
      </c>
      <c r="O50" s="1"/>
      <c r="P50" s="1"/>
      <c r="Q50" s="1"/>
    </row>
    <row r="51" spans="1:17" s="5" customFormat="1" ht="16.5" customHeight="1" x14ac:dyDescent="0.25">
      <c r="A51" s="10">
        <v>37</v>
      </c>
      <c r="B51" s="9" t="s">
        <v>9</v>
      </c>
      <c r="C51" s="38">
        <v>3436</v>
      </c>
      <c r="D51" s="38">
        <v>2592</v>
      </c>
      <c r="E51" s="15">
        <v>0.36</v>
      </c>
      <c r="F51" s="15">
        <v>2.3490000000000002</v>
      </c>
      <c r="G51" s="38">
        <v>3322</v>
      </c>
      <c r="H51" s="38">
        <v>3247</v>
      </c>
      <c r="I51" s="15">
        <v>0</v>
      </c>
      <c r="J51" s="15">
        <v>1.5</v>
      </c>
      <c r="K51" s="38">
        <v>3127</v>
      </c>
      <c r="L51" s="38">
        <v>3131</v>
      </c>
      <c r="M51" s="16">
        <v>0.12</v>
      </c>
      <c r="N51" s="16">
        <v>1.4</v>
      </c>
      <c r="O51" s="1"/>
      <c r="P51" s="1"/>
      <c r="Q51" s="1"/>
    </row>
    <row r="52" spans="1:17" s="5" customFormat="1" ht="16.5" customHeight="1" x14ac:dyDescent="0.25">
      <c r="A52" s="10">
        <v>38</v>
      </c>
      <c r="B52" s="9" t="s">
        <v>10</v>
      </c>
      <c r="C52" s="38">
        <v>4833</v>
      </c>
      <c r="D52" s="38">
        <v>4699</v>
      </c>
      <c r="E52" s="15">
        <v>0.20399999999999999</v>
      </c>
      <c r="F52" s="15">
        <v>70.075000000000003</v>
      </c>
      <c r="G52" s="38">
        <v>4716</v>
      </c>
      <c r="H52" s="38">
        <v>5013</v>
      </c>
      <c r="I52" s="15">
        <v>1.7999999999999999E-2</v>
      </c>
      <c r="J52" s="15">
        <v>114.94799999999999</v>
      </c>
      <c r="K52" s="38">
        <v>3903</v>
      </c>
      <c r="L52" s="38">
        <v>3549</v>
      </c>
      <c r="M52" s="16">
        <v>0.32900000000000001</v>
      </c>
      <c r="N52" s="16">
        <v>63.387999999999998</v>
      </c>
      <c r="O52" s="1"/>
      <c r="P52" s="1"/>
      <c r="Q52" s="1"/>
    </row>
    <row r="53" spans="1:17" s="5" customFormat="1" ht="16.5" customHeight="1" x14ac:dyDescent="0.25">
      <c r="A53" s="10">
        <v>39</v>
      </c>
      <c r="B53" s="9" t="s">
        <v>11</v>
      </c>
      <c r="C53" s="38">
        <v>4444</v>
      </c>
      <c r="D53" s="38">
        <v>4759</v>
      </c>
      <c r="E53" s="15">
        <v>500.4</v>
      </c>
      <c r="F53" s="15">
        <v>191.738</v>
      </c>
      <c r="G53" s="38">
        <v>3984</v>
      </c>
      <c r="H53" s="38">
        <v>5501</v>
      </c>
      <c r="I53" s="15">
        <v>511.238</v>
      </c>
      <c r="J53" s="15">
        <v>225.959</v>
      </c>
      <c r="K53" s="38">
        <v>4614</v>
      </c>
      <c r="L53" s="38">
        <v>5159</v>
      </c>
      <c r="M53" s="16">
        <v>521.57399999999996</v>
      </c>
      <c r="N53" s="16">
        <v>247.684</v>
      </c>
      <c r="O53" s="1"/>
      <c r="P53" s="1"/>
      <c r="Q53" s="1"/>
    </row>
    <row r="54" spans="1:17" s="5" customFormat="1" ht="16.5" customHeight="1" x14ac:dyDescent="0.25">
      <c r="A54" s="10">
        <v>40</v>
      </c>
      <c r="B54" s="9" t="s">
        <v>48</v>
      </c>
      <c r="C54" s="38">
        <v>11762</v>
      </c>
      <c r="D54" s="38">
        <v>11225</v>
      </c>
      <c r="E54" s="15">
        <v>1.9830000000000001</v>
      </c>
      <c r="F54" s="15">
        <v>139.03899999999999</v>
      </c>
      <c r="G54" s="38">
        <v>9373</v>
      </c>
      <c r="H54" s="38">
        <v>11817</v>
      </c>
      <c r="I54" s="15">
        <v>15.529</v>
      </c>
      <c r="J54" s="15">
        <v>149.16499999999999</v>
      </c>
      <c r="K54" s="38">
        <v>8509</v>
      </c>
      <c r="L54" s="38">
        <v>11528</v>
      </c>
      <c r="M54" s="15">
        <v>30.952999999999999</v>
      </c>
      <c r="N54" s="15">
        <v>150.31100000000001</v>
      </c>
      <c r="O54" s="1"/>
      <c r="P54" s="1"/>
      <c r="Q54" s="1"/>
    </row>
    <row r="55" spans="1:17" s="5" customFormat="1" ht="16.5" customHeight="1" x14ac:dyDescent="0.25">
      <c r="A55" s="10">
        <v>41</v>
      </c>
      <c r="B55" s="9" t="s">
        <v>12</v>
      </c>
      <c r="C55" s="38">
        <v>7808</v>
      </c>
      <c r="D55" s="38">
        <v>7739</v>
      </c>
      <c r="E55" s="15">
        <v>0.53500000000000003</v>
      </c>
      <c r="F55" s="15">
        <v>39.53</v>
      </c>
      <c r="G55" s="38">
        <v>7296</v>
      </c>
      <c r="H55" s="38">
        <v>7653</v>
      </c>
      <c r="I55" s="15">
        <v>0.75</v>
      </c>
      <c r="J55" s="15">
        <v>46.566000000000003</v>
      </c>
      <c r="K55" s="38">
        <v>6359</v>
      </c>
      <c r="L55" s="38">
        <v>6015</v>
      </c>
      <c r="M55" s="15">
        <v>1.5489999999999999</v>
      </c>
      <c r="N55" s="15">
        <v>37.6</v>
      </c>
      <c r="O55" s="1"/>
      <c r="P55" s="1"/>
      <c r="Q55" s="1"/>
    </row>
    <row r="56" spans="1:17" s="5" customFormat="1" ht="16.5" customHeight="1" x14ac:dyDescent="0.25">
      <c r="A56" s="10">
        <v>42</v>
      </c>
      <c r="B56" s="9" t="s">
        <v>37</v>
      </c>
      <c r="C56" s="38">
        <v>22457</v>
      </c>
      <c r="D56" s="38">
        <v>22299</v>
      </c>
      <c r="E56" s="15">
        <v>731.08699999999999</v>
      </c>
      <c r="F56" s="15">
        <v>954.42200000000003</v>
      </c>
      <c r="G56" s="38">
        <v>19041</v>
      </c>
      <c r="H56" s="38">
        <v>23153</v>
      </c>
      <c r="I56" s="15">
        <v>744.66899999999998</v>
      </c>
      <c r="J56" s="15">
        <v>1009.551</v>
      </c>
      <c r="K56" s="38">
        <v>19626</v>
      </c>
      <c r="L56" s="38">
        <v>21789</v>
      </c>
      <c r="M56" s="15">
        <v>712.572</v>
      </c>
      <c r="N56" s="15">
        <v>931.80399999999997</v>
      </c>
      <c r="O56" s="1"/>
      <c r="P56" s="1"/>
      <c r="Q56" s="1"/>
    </row>
    <row r="57" spans="1:17" s="5" customFormat="1" ht="16.5" customHeight="1" x14ac:dyDescent="0.25">
      <c r="A57" s="10">
        <v>43</v>
      </c>
      <c r="B57" s="9" t="s">
        <v>13</v>
      </c>
      <c r="C57" s="38">
        <v>2668</v>
      </c>
      <c r="D57" s="38">
        <v>2156</v>
      </c>
      <c r="E57" s="15">
        <v>414.7056</v>
      </c>
      <c r="F57" s="15">
        <v>508.90800000000002</v>
      </c>
      <c r="G57" s="38">
        <v>2168</v>
      </c>
      <c r="H57" s="38">
        <v>2562</v>
      </c>
      <c r="I57" s="15">
        <v>367.02209999999997</v>
      </c>
      <c r="J57" s="15">
        <v>439.43049999999999</v>
      </c>
      <c r="K57" s="38">
        <v>2742</v>
      </c>
      <c r="L57" s="38">
        <v>2629</v>
      </c>
      <c r="M57" s="15">
        <v>330.92529999999999</v>
      </c>
      <c r="N57" s="15">
        <v>482.70393999999999</v>
      </c>
      <c r="O57" s="1"/>
      <c r="P57" s="1"/>
      <c r="Q57" s="1"/>
    </row>
    <row r="58" spans="1:17" s="5" customFormat="1" ht="16.5" customHeight="1" x14ac:dyDescent="0.25">
      <c r="A58" s="10">
        <v>44</v>
      </c>
      <c r="B58" s="9" t="s">
        <v>42</v>
      </c>
      <c r="C58" s="38">
        <v>29028</v>
      </c>
      <c r="D58" s="38">
        <v>20715</v>
      </c>
      <c r="E58" s="15">
        <v>0</v>
      </c>
      <c r="F58" s="15">
        <v>972.83600000000001</v>
      </c>
      <c r="G58" s="38">
        <v>14079</v>
      </c>
      <c r="H58" s="38">
        <v>29521</v>
      </c>
      <c r="I58" s="15">
        <v>0</v>
      </c>
      <c r="J58" s="15">
        <v>883.88699999999994</v>
      </c>
      <c r="K58" s="38">
        <v>12639</v>
      </c>
      <c r="L58" s="38">
        <v>23847</v>
      </c>
      <c r="M58" s="15">
        <v>0</v>
      </c>
      <c r="N58" s="15">
        <v>1014.097</v>
      </c>
      <c r="O58" s="1"/>
      <c r="P58" s="1"/>
      <c r="Q58" s="1"/>
    </row>
    <row r="59" spans="1:17" s="5" customFormat="1" ht="16.5" customHeight="1" x14ac:dyDescent="0.25">
      <c r="A59" s="10">
        <v>45</v>
      </c>
      <c r="B59" s="9" t="s">
        <v>84</v>
      </c>
      <c r="C59" s="38">
        <v>5220</v>
      </c>
      <c r="D59" s="38">
        <v>4965</v>
      </c>
      <c r="E59" s="15">
        <v>34.259</v>
      </c>
      <c r="F59" s="15">
        <v>268.99799999999999</v>
      </c>
      <c r="G59" s="38">
        <v>4063</v>
      </c>
      <c r="H59" s="38">
        <v>5014</v>
      </c>
      <c r="I59" s="15">
        <v>34.518000000000001</v>
      </c>
      <c r="J59" s="15">
        <v>228.446</v>
      </c>
      <c r="K59" s="38">
        <v>3738</v>
      </c>
      <c r="L59" s="38">
        <v>4076</v>
      </c>
      <c r="M59" s="15">
        <v>34.363</v>
      </c>
      <c r="N59" s="15">
        <v>296.709</v>
      </c>
      <c r="O59" s="1"/>
      <c r="P59" s="1"/>
      <c r="Q59" s="1"/>
    </row>
    <row r="60" spans="1:17" s="5" customFormat="1" ht="16.5" customHeight="1" x14ac:dyDescent="0.25">
      <c r="A60" s="10">
        <v>46</v>
      </c>
      <c r="B60" s="9" t="s">
        <v>14</v>
      </c>
      <c r="C60" s="38">
        <v>60364</v>
      </c>
      <c r="D60" s="38">
        <v>56381</v>
      </c>
      <c r="E60" s="15">
        <v>1613.96</v>
      </c>
      <c r="F60" s="15">
        <v>2369.0610000000001</v>
      </c>
      <c r="G60" s="38">
        <v>50348</v>
      </c>
      <c r="H60" s="38">
        <v>63783</v>
      </c>
      <c r="I60" s="15">
        <v>1691.7149999999999</v>
      </c>
      <c r="J60" s="15">
        <v>2455.6660000000002</v>
      </c>
      <c r="K60" s="38">
        <v>45573</v>
      </c>
      <c r="L60" s="38">
        <v>53911</v>
      </c>
      <c r="M60" s="15">
        <v>1544.3130000000001</v>
      </c>
      <c r="N60" s="15">
        <v>2392.66</v>
      </c>
      <c r="O60" s="1"/>
      <c r="P60" s="1"/>
      <c r="Q60" s="1"/>
    </row>
    <row r="61" spans="1:17" s="5" customFormat="1" ht="16.5" customHeight="1" x14ac:dyDescent="0.25">
      <c r="A61" s="10">
        <v>47</v>
      </c>
      <c r="B61" s="9" t="s">
        <v>15</v>
      </c>
      <c r="C61" s="38">
        <v>1858</v>
      </c>
      <c r="D61" s="38">
        <v>1079</v>
      </c>
      <c r="E61" s="15">
        <v>19.707900000000002</v>
      </c>
      <c r="F61" s="15">
        <v>123.482</v>
      </c>
      <c r="G61" s="38">
        <v>1824</v>
      </c>
      <c r="H61" s="38">
        <v>1977</v>
      </c>
      <c r="I61" s="15">
        <v>21.959849999999999</v>
      </c>
      <c r="J61" s="15">
        <v>154.75720000000001</v>
      </c>
      <c r="K61" s="38"/>
      <c r="L61" s="38"/>
      <c r="M61" s="15">
        <v>0</v>
      </c>
      <c r="N61" s="15">
        <v>0</v>
      </c>
      <c r="O61" s="1"/>
      <c r="P61" s="1"/>
      <c r="Q61" s="1"/>
    </row>
    <row r="62" spans="1:17" s="5" customFormat="1" ht="16.5" customHeight="1" x14ac:dyDescent="0.25">
      <c r="A62" s="10">
        <v>48</v>
      </c>
      <c r="B62" s="9" t="s">
        <v>16</v>
      </c>
      <c r="C62" s="38">
        <v>44723</v>
      </c>
      <c r="D62" s="38">
        <v>47819</v>
      </c>
      <c r="E62" s="15">
        <v>1238.7729999999999</v>
      </c>
      <c r="F62" s="15">
        <v>1301.1179999999999</v>
      </c>
      <c r="G62" s="38">
        <v>52774</v>
      </c>
      <c r="H62" s="38">
        <v>55846</v>
      </c>
      <c r="I62" s="15">
        <v>1437.5360000000001</v>
      </c>
      <c r="J62" s="15">
        <v>1445.5905</v>
      </c>
      <c r="K62" s="38">
        <v>51369</v>
      </c>
      <c r="L62" s="38">
        <v>55047</v>
      </c>
      <c r="M62" s="15">
        <v>1431.973</v>
      </c>
      <c r="N62" s="15">
        <v>1522.88</v>
      </c>
      <c r="O62" s="1"/>
      <c r="P62" s="1"/>
      <c r="Q62" s="1"/>
    </row>
    <row r="63" spans="1:17" s="5" customFormat="1" ht="16.5" customHeight="1" x14ac:dyDescent="0.25">
      <c r="A63" s="10">
        <v>49</v>
      </c>
      <c r="B63" s="9" t="s">
        <v>43</v>
      </c>
      <c r="C63" s="38">
        <v>19289</v>
      </c>
      <c r="D63" s="38">
        <v>17852</v>
      </c>
      <c r="E63" s="15">
        <v>88.896000000000001</v>
      </c>
      <c r="F63" s="15">
        <v>78.52</v>
      </c>
      <c r="G63" s="38">
        <v>16037</v>
      </c>
      <c r="H63" s="38">
        <v>15328</v>
      </c>
      <c r="I63" s="15">
        <v>86.599000000000004</v>
      </c>
      <c r="J63" s="15">
        <v>99.033000000000001</v>
      </c>
      <c r="K63" s="38">
        <v>16676</v>
      </c>
      <c r="L63" s="38">
        <v>16277</v>
      </c>
      <c r="M63" s="15">
        <v>105.807</v>
      </c>
      <c r="N63" s="15">
        <v>69.995000000000005</v>
      </c>
      <c r="O63" s="1"/>
      <c r="P63" s="1"/>
      <c r="Q63" s="1"/>
    </row>
    <row r="64" spans="1:17" s="5" customFormat="1" ht="16.5" customHeight="1" x14ac:dyDescent="0.25">
      <c r="A64" s="10">
        <v>50</v>
      </c>
      <c r="B64" s="9" t="s">
        <v>45</v>
      </c>
      <c r="C64" s="38"/>
      <c r="D64" s="38"/>
      <c r="E64" s="15">
        <v>0</v>
      </c>
      <c r="F64" s="15">
        <v>0</v>
      </c>
      <c r="G64" s="38">
        <v>637</v>
      </c>
      <c r="H64" s="38">
        <v>492</v>
      </c>
      <c r="I64" s="15">
        <v>0</v>
      </c>
      <c r="J64" s="15">
        <v>11.154</v>
      </c>
      <c r="K64" s="38">
        <v>693</v>
      </c>
      <c r="L64" s="38">
        <v>487</v>
      </c>
      <c r="M64" s="15">
        <v>0</v>
      </c>
      <c r="N64" s="15">
        <v>8.3320000000000007</v>
      </c>
      <c r="O64" s="1"/>
      <c r="P64" s="1"/>
      <c r="Q64" s="1"/>
    </row>
    <row r="65" spans="1:17" s="5" customFormat="1" ht="16.5" customHeight="1" x14ac:dyDescent="0.25">
      <c r="A65" s="10">
        <v>51</v>
      </c>
      <c r="B65" s="9" t="s">
        <v>74</v>
      </c>
      <c r="C65" s="38">
        <v>3842</v>
      </c>
      <c r="D65" s="38">
        <v>3383</v>
      </c>
      <c r="E65" s="15">
        <v>0</v>
      </c>
      <c r="F65" s="15">
        <v>0</v>
      </c>
      <c r="G65" s="38">
        <v>3801</v>
      </c>
      <c r="H65" s="38">
        <v>4977</v>
      </c>
      <c r="I65" s="15">
        <v>0</v>
      </c>
      <c r="J65" s="15">
        <v>0</v>
      </c>
      <c r="K65" s="38">
        <v>3431</v>
      </c>
      <c r="L65" s="38">
        <v>4883</v>
      </c>
      <c r="M65" s="15">
        <v>0</v>
      </c>
      <c r="N65" s="15">
        <v>0</v>
      </c>
      <c r="O65" s="1"/>
      <c r="P65" s="1"/>
      <c r="Q65" s="1"/>
    </row>
    <row r="66" spans="1:17" s="5" customFormat="1" ht="16.5" customHeight="1" x14ac:dyDescent="0.25">
      <c r="A66" s="10">
        <v>52</v>
      </c>
      <c r="B66" s="9" t="s">
        <v>46</v>
      </c>
      <c r="C66" s="38">
        <v>6160</v>
      </c>
      <c r="D66" s="38">
        <v>4637</v>
      </c>
      <c r="E66" s="15">
        <v>100.414</v>
      </c>
      <c r="F66" s="15">
        <v>13.776</v>
      </c>
      <c r="G66" s="38">
        <v>4627</v>
      </c>
      <c r="H66" s="38">
        <v>4408</v>
      </c>
      <c r="I66" s="15">
        <v>52.369</v>
      </c>
      <c r="J66" s="15">
        <v>20.036000000000001</v>
      </c>
      <c r="K66" s="38">
        <v>5057</v>
      </c>
      <c r="L66" s="38">
        <v>5860</v>
      </c>
      <c r="M66" s="15">
        <v>31.756</v>
      </c>
      <c r="N66" s="15">
        <v>25.283000000000001</v>
      </c>
      <c r="O66" s="1"/>
      <c r="P66" s="1"/>
      <c r="Q66" s="1"/>
    </row>
    <row r="67" spans="1:17" s="5" customFormat="1" ht="16.5" customHeight="1" x14ac:dyDescent="0.25">
      <c r="A67" s="10">
        <v>53</v>
      </c>
      <c r="B67" s="9" t="s">
        <v>62</v>
      </c>
      <c r="C67" s="38"/>
      <c r="D67" s="38"/>
      <c r="E67" s="15">
        <v>0</v>
      </c>
      <c r="F67" s="15">
        <v>0</v>
      </c>
      <c r="G67" s="38">
        <v>574</v>
      </c>
      <c r="H67" s="38">
        <v>370</v>
      </c>
      <c r="I67" s="15">
        <v>0</v>
      </c>
      <c r="J67" s="15">
        <v>0</v>
      </c>
      <c r="K67" s="38">
        <v>326</v>
      </c>
      <c r="L67" s="38">
        <v>291</v>
      </c>
      <c r="M67" s="15">
        <v>0</v>
      </c>
      <c r="N67" s="15">
        <v>0</v>
      </c>
      <c r="O67" s="1"/>
      <c r="P67" s="1"/>
      <c r="Q67" s="1"/>
    </row>
    <row r="68" spans="1:17" s="5" customFormat="1" ht="16.5" customHeight="1" x14ac:dyDescent="0.25">
      <c r="A68" s="10">
        <v>54</v>
      </c>
      <c r="B68" s="9" t="s">
        <v>17</v>
      </c>
      <c r="C68" s="38">
        <v>61167</v>
      </c>
      <c r="D68" s="38">
        <v>55276</v>
      </c>
      <c r="E68" s="15">
        <v>87.467100000000002</v>
      </c>
      <c r="F68" s="15">
        <v>764.10263000000009</v>
      </c>
      <c r="G68" s="38">
        <v>40214</v>
      </c>
      <c r="H68" s="38">
        <v>61500</v>
      </c>
      <c r="I68" s="15">
        <v>137.34470000000002</v>
      </c>
      <c r="J68" s="15">
        <v>749.56130000000007</v>
      </c>
      <c r="K68" s="38">
        <v>33224</v>
      </c>
      <c r="L68" s="38">
        <v>57941</v>
      </c>
      <c r="M68" s="15">
        <v>250.8235</v>
      </c>
      <c r="N68" s="15">
        <v>809.22820999999999</v>
      </c>
      <c r="O68" s="1"/>
      <c r="P68" s="1"/>
      <c r="Q68" s="1"/>
    </row>
    <row r="69" spans="1:17" s="5" customFormat="1" ht="16.5" customHeight="1" x14ac:dyDescent="0.25">
      <c r="A69" s="10">
        <v>55</v>
      </c>
      <c r="B69" s="9" t="s">
        <v>63</v>
      </c>
      <c r="C69" s="38">
        <v>2720</v>
      </c>
      <c r="D69" s="38">
        <v>2849</v>
      </c>
      <c r="E69" s="15">
        <v>0.251</v>
      </c>
      <c r="F69" s="15">
        <v>31.387499999999999</v>
      </c>
      <c r="G69" s="38">
        <v>3003</v>
      </c>
      <c r="H69" s="38">
        <v>3005</v>
      </c>
      <c r="I69" s="15">
        <v>2.702</v>
      </c>
      <c r="J69" s="15">
        <v>55.8994</v>
      </c>
      <c r="K69" s="38">
        <v>2647</v>
      </c>
      <c r="L69" s="38">
        <v>2689</v>
      </c>
      <c r="M69" s="15">
        <v>0.99199999999999999</v>
      </c>
      <c r="N69" s="15">
        <v>52.744</v>
      </c>
      <c r="O69" s="1"/>
      <c r="P69" s="1"/>
      <c r="Q69" s="1"/>
    </row>
    <row r="70" spans="1:17" s="5" customFormat="1" ht="16.5" customHeight="1" x14ac:dyDescent="0.25">
      <c r="A70" s="10">
        <v>56</v>
      </c>
      <c r="B70" s="9" t="s">
        <v>18</v>
      </c>
      <c r="C70" s="38">
        <v>96529</v>
      </c>
      <c r="D70" s="38">
        <v>85689</v>
      </c>
      <c r="E70" s="15">
        <v>5765.6809999999996</v>
      </c>
      <c r="F70" s="15">
        <v>7778.3779999999997</v>
      </c>
      <c r="G70" s="38">
        <v>86581</v>
      </c>
      <c r="H70" s="38">
        <v>93324</v>
      </c>
      <c r="I70" s="15">
        <v>5423.9189999999999</v>
      </c>
      <c r="J70" s="15">
        <v>8366.6440000000002</v>
      </c>
      <c r="K70" s="38">
        <v>85357</v>
      </c>
      <c r="L70" s="38">
        <v>89867</v>
      </c>
      <c r="M70" s="15">
        <v>4359.0190000000002</v>
      </c>
      <c r="N70" s="15">
        <v>7720.2269999999999</v>
      </c>
      <c r="O70" s="1"/>
      <c r="P70" s="1"/>
      <c r="Q70" s="1"/>
    </row>
    <row r="71" spans="1:17" s="5" customFormat="1" ht="16.5" customHeight="1" x14ac:dyDescent="0.25">
      <c r="A71" s="10">
        <v>57</v>
      </c>
      <c r="B71" s="9" t="s">
        <v>77</v>
      </c>
      <c r="C71" s="38">
        <v>17818</v>
      </c>
      <c r="D71" s="38">
        <v>15393</v>
      </c>
      <c r="E71" s="15">
        <v>0.53900000000000003</v>
      </c>
      <c r="F71" s="15">
        <v>6.3079999999999998</v>
      </c>
      <c r="G71" s="38">
        <v>14420</v>
      </c>
      <c r="H71" s="38">
        <v>17921</v>
      </c>
      <c r="I71" s="15">
        <v>0.63500000000000001</v>
      </c>
      <c r="J71" s="15">
        <v>73.179000000000002</v>
      </c>
      <c r="K71" s="38">
        <v>15529</v>
      </c>
      <c r="L71" s="38">
        <v>19835</v>
      </c>
      <c r="M71" s="15">
        <v>1.9159999999999999</v>
      </c>
      <c r="N71" s="15">
        <v>53.448999999999998</v>
      </c>
      <c r="O71" s="1"/>
      <c r="P71" s="1"/>
      <c r="Q71" s="1"/>
    </row>
    <row r="72" spans="1:17" s="5" customFormat="1" ht="16.5" customHeight="1" x14ac:dyDescent="0.25">
      <c r="A72" s="10">
        <v>58</v>
      </c>
      <c r="B72" s="9" t="s">
        <v>64</v>
      </c>
      <c r="C72" s="38">
        <v>25146</v>
      </c>
      <c r="D72" s="38">
        <v>30443</v>
      </c>
      <c r="E72" s="15">
        <v>73.150999999999996</v>
      </c>
      <c r="F72" s="15">
        <v>1311.874</v>
      </c>
      <c r="G72" s="38">
        <v>53429</v>
      </c>
      <c r="H72" s="38">
        <v>66470</v>
      </c>
      <c r="I72" s="15">
        <v>228.364</v>
      </c>
      <c r="J72" s="15">
        <v>1725.327</v>
      </c>
      <c r="K72" s="38">
        <v>66356</v>
      </c>
      <c r="L72" s="38">
        <v>75649</v>
      </c>
      <c r="M72" s="15">
        <v>130.011</v>
      </c>
      <c r="N72" s="15">
        <v>1619.077</v>
      </c>
      <c r="O72" s="1"/>
      <c r="P72" s="1"/>
      <c r="Q72" s="1"/>
    </row>
    <row r="73" spans="1:17" s="5" customFormat="1" ht="16.5" customHeight="1" x14ac:dyDescent="0.25">
      <c r="A73" s="10">
        <v>59</v>
      </c>
      <c r="B73" s="9" t="s">
        <v>55</v>
      </c>
      <c r="C73" s="38">
        <v>27863</v>
      </c>
      <c r="D73" s="38">
        <v>30754</v>
      </c>
      <c r="E73" s="15">
        <v>13.222</v>
      </c>
      <c r="F73" s="15">
        <v>130.953</v>
      </c>
      <c r="G73" s="38">
        <v>31151</v>
      </c>
      <c r="H73" s="38">
        <v>26612</v>
      </c>
      <c r="I73" s="15">
        <v>17.598200000000002</v>
      </c>
      <c r="J73" s="15">
        <v>138.44499999999999</v>
      </c>
      <c r="K73" s="38">
        <v>29067</v>
      </c>
      <c r="L73" s="38">
        <v>30507</v>
      </c>
      <c r="M73" s="15">
        <v>22.433</v>
      </c>
      <c r="N73" s="15">
        <v>130.417</v>
      </c>
      <c r="O73" s="1"/>
      <c r="P73" s="1"/>
      <c r="Q73" s="1"/>
    </row>
    <row r="74" spans="1:17" s="5" customFormat="1" ht="16.5" customHeight="1" x14ac:dyDescent="0.25">
      <c r="A74" s="10">
        <v>60</v>
      </c>
      <c r="B74" s="9" t="s">
        <v>56</v>
      </c>
      <c r="C74" s="38">
        <v>86642</v>
      </c>
      <c r="D74" s="38">
        <v>88776</v>
      </c>
      <c r="E74" s="15">
        <v>4197.2629999999999</v>
      </c>
      <c r="F74" s="15">
        <v>3287.9989999999998</v>
      </c>
      <c r="G74" s="38">
        <v>88954</v>
      </c>
      <c r="H74" s="38">
        <v>96346</v>
      </c>
      <c r="I74" s="15">
        <v>3659.5230000000001</v>
      </c>
      <c r="J74" s="15">
        <v>3122.4859999999999</v>
      </c>
      <c r="K74" s="38">
        <v>88878</v>
      </c>
      <c r="L74" s="38">
        <v>93849</v>
      </c>
      <c r="M74" s="15">
        <v>3659.2750000000001</v>
      </c>
      <c r="N74" s="15">
        <v>3257.7179999999998</v>
      </c>
      <c r="O74" s="1"/>
      <c r="P74" s="1"/>
      <c r="Q74" s="1"/>
    </row>
    <row r="75" spans="1:17" s="5" customFormat="1" ht="16.5" customHeight="1" x14ac:dyDescent="0.25">
      <c r="A75" s="10">
        <v>61</v>
      </c>
      <c r="B75" s="9" t="s">
        <v>29</v>
      </c>
      <c r="C75" s="38">
        <v>41689</v>
      </c>
      <c r="D75" s="38">
        <v>43000</v>
      </c>
      <c r="E75" s="15">
        <v>642.6431</v>
      </c>
      <c r="F75" s="15">
        <v>1101.3720000000001</v>
      </c>
      <c r="G75" s="38">
        <v>39474</v>
      </c>
      <c r="H75" s="38">
        <v>45112</v>
      </c>
      <c r="I75" s="15">
        <v>623.57419999999991</v>
      </c>
      <c r="J75" s="15">
        <v>846.38300000000004</v>
      </c>
      <c r="K75" s="38">
        <v>33025</v>
      </c>
      <c r="L75" s="38">
        <v>44209</v>
      </c>
      <c r="M75" s="15">
        <v>545.40300000000002</v>
      </c>
      <c r="N75" s="15">
        <v>778.577</v>
      </c>
      <c r="O75" s="1"/>
      <c r="P75" s="1"/>
      <c r="Q75" s="1"/>
    </row>
    <row r="76" spans="1:17" s="5" customFormat="1" ht="16.5" customHeight="1" x14ac:dyDescent="0.25">
      <c r="A76" s="10">
        <v>62</v>
      </c>
      <c r="B76" s="9" t="s">
        <v>34</v>
      </c>
      <c r="C76" s="38">
        <v>13503</v>
      </c>
      <c r="D76" s="38">
        <v>13421</v>
      </c>
      <c r="E76" s="15">
        <v>649.01099999999997</v>
      </c>
      <c r="F76" s="15">
        <v>868.298</v>
      </c>
      <c r="G76" s="38">
        <v>10377</v>
      </c>
      <c r="H76" s="38">
        <v>13613</v>
      </c>
      <c r="I76" s="15">
        <v>625.61500000000001</v>
      </c>
      <c r="J76" s="15">
        <v>861.12099999999998</v>
      </c>
      <c r="K76" s="38">
        <v>10743</v>
      </c>
      <c r="L76" s="38">
        <v>13187</v>
      </c>
      <c r="M76" s="15">
        <v>587.37900000000002</v>
      </c>
      <c r="N76" s="15">
        <v>863.14200000000005</v>
      </c>
      <c r="O76" s="1"/>
      <c r="P76" s="1"/>
      <c r="Q76" s="1"/>
    </row>
    <row r="77" spans="1:17" s="5" customFormat="1" ht="16.5" customHeight="1" x14ac:dyDescent="0.25">
      <c r="A77" s="10">
        <v>63</v>
      </c>
      <c r="B77" s="9" t="s">
        <v>66</v>
      </c>
      <c r="C77" s="38">
        <v>29439</v>
      </c>
      <c r="D77" s="38">
        <v>30808</v>
      </c>
      <c r="E77" s="15">
        <v>126.059</v>
      </c>
      <c r="F77" s="15">
        <v>236.52270999999999</v>
      </c>
      <c r="G77" s="38">
        <v>29624</v>
      </c>
      <c r="H77" s="38">
        <v>31527</v>
      </c>
      <c r="I77" s="15">
        <v>111.349</v>
      </c>
      <c r="J77" s="15">
        <v>281.40283999999997</v>
      </c>
      <c r="K77" s="38">
        <v>27823</v>
      </c>
      <c r="L77" s="38">
        <v>29801</v>
      </c>
      <c r="M77" s="15">
        <v>125.517</v>
      </c>
      <c r="N77" s="15">
        <v>312.04818999999998</v>
      </c>
      <c r="O77" s="1"/>
      <c r="P77" s="1"/>
      <c r="Q77" s="1"/>
    </row>
    <row r="78" spans="1:17" s="5" customFormat="1" ht="16.5" customHeight="1" x14ac:dyDescent="0.25">
      <c r="A78" s="10">
        <v>64</v>
      </c>
      <c r="B78" s="9" t="s">
        <v>38</v>
      </c>
      <c r="C78" s="38">
        <v>55302</v>
      </c>
      <c r="D78" s="38">
        <v>51603</v>
      </c>
      <c r="E78" s="15">
        <v>2312.8119999999999</v>
      </c>
      <c r="F78" s="15">
        <v>2069.3980000000001</v>
      </c>
      <c r="G78" s="38">
        <v>53626</v>
      </c>
      <c r="H78" s="38">
        <v>56142</v>
      </c>
      <c r="I78" s="15">
        <v>2118.4589999999998</v>
      </c>
      <c r="J78" s="15">
        <v>2244.2489999999998</v>
      </c>
      <c r="K78" s="38">
        <v>57571</v>
      </c>
      <c r="L78" s="38">
        <v>57015</v>
      </c>
      <c r="M78" s="15">
        <v>2188.4389999999999</v>
      </c>
      <c r="N78" s="15">
        <v>2629.614</v>
      </c>
      <c r="O78" s="1"/>
      <c r="P78" s="1"/>
      <c r="Q78" s="1"/>
    </row>
    <row r="79" spans="1:17" s="5" customFormat="1" ht="16.5" customHeight="1" x14ac:dyDescent="0.25">
      <c r="A79" s="10">
        <v>65</v>
      </c>
      <c r="B79" s="9" t="s">
        <v>67</v>
      </c>
      <c r="C79" s="38">
        <v>8412</v>
      </c>
      <c r="D79" s="38">
        <v>7593</v>
      </c>
      <c r="E79" s="15">
        <v>40.615000000000002</v>
      </c>
      <c r="F79" s="15">
        <v>18.606000000000002</v>
      </c>
      <c r="G79" s="38">
        <v>7934</v>
      </c>
      <c r="H79" s="38">
        <v>7404</v>
      </c>
      <c r="I79" s="15">
        <v>43.363351999999999</v>
      </c>
      <c r="J79" s="15">
        <v>4.9180000000000001</v>
      </c>
      <c r="K79" s="38">
        <v>7495</v>
      </c>
      <c r="L79" s="38">
        <v>7342</v>
      </c>
      <c r="M79" s="15">
        <v>77.356415000000013</v>
      </c>
      <c r="N79" s="15">
        <v>7.0540000000000003</v>
      </c>
      <c r="O79" s="1"/>
      <c r="P79" s="1"/>
      <c r="Q79" s="1"/>
    </row>
    <row r="80" spans="1:17" s="5" customFormat="1" ht="16.5" customHeight="1" x14ac:dyDescent="0.25">
      <c r="A80" s="10">
        <v>66</v>
      </c>
      <c r="B80" s="9" t="s">
        <v>19</v>
      </c>
      <c r="C80" s="38">
        <v>21860</v>
      </c>
      <c r="D80" s="38">
        <v>10448</v>
      </c>
      <c r="E80" s="15">
        <v>3585.6695</v>
      </c>
      <c r="F80" s="15">
        <v>4537.8926400000009</v>
      </c>
      <c r="G80" s="38">
        <v>17621</v>
      </c>
      <c r="H80" s="38">
        <v>21073</v>
      </c>
      <c r="I80" s="15">
        <v>3999.6709999999998</v>
      </c>
      <c r="J80" s="15">
        <v>4254.7977000000001</v>
      </c>
      <c r="K80" s="38">
        <v>17026</v>
      </c>
      <c r="L80" s="38">
        <v>19072</v>
      </c>
      <c r="M80" s="15">
        <v>3283.4516899999999</v>
      </c>
      <c r="N80" s="15">
        <v>3856.3796000000002</v>
      </c>
      <c r="O80" s="1"/>
      <c r="P80" s="1"/>
      <c r="Q80" s="1"/>
    </row>
    <row r="81" spans="1:17" s="5" customFormat="1" ht="16.5" customHeight="1" x14ac:dyDescent="0.25">
      <c r="A81" s="10">
        <v>67</v>
      </c>
      <c r="B81" s="9" t="s">
        <v>20</v>
      </c>
      <c r="C81" s="38">
        <v>7015</v>
      </c>
      <c r="D81" s="38">
        <v>6868</v>
      </c>
      <c r="E81" s="15">
        <v>55.087000000000003</v>
      </c>
      <c r="F81" s="15">
        <v>55.546599999999998</v>
      </c>
      <c r="G81" s="38">
        <v>6064</v>
      </c>
      <c r="H81" s="38">
        <v>7040</v>
      </c>
      <c r="I81" s="15">
        <v>61.792000000000002</v>
      </c>
      <c r="J81" s="15">
        <v>36.378</v>
      </c>
      <c r="K81" s="38">
        <v>6787</v>
      </c>
      <c r="L81" s="38">
        <v>6685</v>
      </c>
      <c r="M81" s="15">
        <v>60.720999999999997</v>
      </c>
      <c r="N81" s="15">
        <v>113.84</v>
      </c>
      <c r="O81" s="1"/>
      <c r="P81" s="1"/>
      <c r="Q81" s="1"/>
    </row>
    <row r="82" spans="1:17" s="5" customFormat="1" ht="16.5" customHeight="1" x14ac:dyDescent="0.25">
      <c r="A82" s="10">
        <v>68</v>
      </c>
      <c r="B82" s="9" t="s">
        <v>85</v>
      </c>
      <c r="C82" s="38">
        <v>0</v>
      </c>
      <c r="D82" s="38">
        <v>0</v>
      </c>
      <c r="E82" s="15">
        <v>2510.4070000000002</v>
      </c>
      <c r="F82" s="15">
        <v>2370.1819999999998</v>
      </c>
      <c r="G82" s="38">
        <v>0</v>
      </c>
      <c r="H82" s="38">
        <v>0</v>
      </c>
      <c r="I82" s="15">
        <v>2244.4879999999998</v>
      </c>
      <c r="J82" s="15">
        <v>2555.645</v>
      </c>
      <c r="K82" s="38">
        <v>0</v>
      </c>
      <c r="L82" s="38">
        <v>0</v>
      </c>
      <c r="M82" s="15">
        <v>2120.7289999999998</v>
      </c>
      <c r="N82" s="15">
        <v>2682.4540000000002</v>
      </c>
      <c r="O82" s="1"/>
      <c r="P82" s="1"/>
      <c r="Q82" s="1"/>
    </row>
    <row r="83" spans="1:17" s="5" customFormat="1" ht="16.5" customHeight="1" x14ac:dyDescent="0.25">
      <c r="A83" s="10">
        <v>69</v>
      </c>
      <c r="B83" s="9" t="s">
        <v>57</v>
      </c>
      <c r="C83" s="38">
        <v>7262</v>
      </c>
      <c r="D83" s="38">
        <v>7906</v>
      </c>
      <c r="E83" s="15">
        <v>0</v>
      </c>
      <c r="F83" s="15">
        <v>4.8460000000000001</v>
      </c>
      <c r="G83" s="38">
        <v>2899</v>
      </c>
      <c r="H83" s="38">
        <v>3072</v>
      </c>
      <c r="I83" s="15">
        <v>0</v>
      </c>
      <c r="J83" s="15">
        <v>1.498</v>
      </c>
      <c r="K83" s="38">
        <v>1515</v>
      </c>
      <c r="L83" s="38">
        <v>1594</v>
      </c>
      <c r="M83" s="15">
        <v>4.1000000000000002E-2</v>
      </c>
      <c r="N83" s="15">
        <v>4.2960000000000003</v>
      </c>
      <c r="O83" s="1"/>
      <c r="P83" s="1"/>
      <c r="Q83" s="1"/>
    </row>
    <row r="84" spans="1:17" s="5" customFormat="1" ht="16.5" customHeight="1" x14ac:dyDescent="0.25">
      <c r="A84" s="10">
        <v>70</v>
      </c>
      <c r="B84" s="9" t="s">
        <v>78</v>
      </c>
      <c r="C84" s="38">
        <v>7392</v>
      </c>
      <c r="D84" s="38">
        <v>5601</v>
      </c>
      <c r="E84" s="15">
        <v>20.231999999999999</v>
      </c>
      <c r="F84" s="15">
        <v>278.43599999999998</v>
      </c>
      <c r="G84" s="38">
        <v>5226</v>
      </c>
      <c r="H84" s="38">
        <v>6992</v>
      </c>
      <c r="I84" s="15">
        <v>34.072000000000003</v>
      </c>
      <c r="J84" s="15">
        <v>239.81800000000001</v>
      </c>
      <c r="K84" s="38">
        <v>3831</v>
      </c>
      <c r="L84" s="38">
        <v>7009</v>
      </c>
      <c r="M84" s="15">
        <v>14.927</v>
      </c>
      <c r="N84" s="15">
        <v>183.68600000000001</v>
      </c>
      <c r="O84" s="1"/>
      <c r="P84" s="1"/>
      <c r="Q84" s="1"/>
    </row>
    <row r="85" spans="1:17" s="5" customFormat="1" ht="16.5" customHeight="1" x14ac:dyDescent="0.25">
      <c r="A85" s="10">
        <v>71</v>
      </c>
      <c r="B85" s="9" t="s">
        <v>68</v>
      </c>
      <c r="C85" s="38">
        <v>7066</v>
      </c>
      <c r="D85" s="38">
        <v>8187</v>
      </c>
      <c r="E85" s="15">
        <v>281.48099999999999</v>
      </c>
      <c r="F85" s="15">
        <v>137.47970000000001</v>
      </c>
      <c r="G85" s="38">
        <v>7936</v>
      </c>
      <c r="H85" s="38">
        <v>8229</v>
      </c>
      <c r="I85" s="15">
        <v>254.977</v>
      </c>
      <c r="J85" s="15">
        <v>141.38609999999997</v>
      </c>
      <c r="K85" s="38">
        <v>7814</v>
      </c>
      <c r="L85" s="38">
        <v>8456</v>
      </c>
      <c r="M85" s="15">
        <v>277.83600000000001</v>
      </c>
      <c r="N85" s="15">
        <v>134.3383</v>
      </c>
      <c r="O85" s="1"/>
      <c r="P85" s="1"/>
      <c r="Q85" s="1"/>
    </row>
    <row r="86" spans="1:17" s="5" customFormat="1" ht="16.5" customHeight="1" x14ac:dyDescent="0.25">
      <c r="A86" s="10">
        <v>72</v>
      </c>
      <c r="B86" s="9" t="s">
        <v>75</v>
      </c>
      <c r="C86" s="38">
        <v>5826</v>
      </c>
      <c r="D86" s="38">
        <v>5543</v>
      </c>
      <c r="E86" s="15">
        <v>317.64159999999998</v>
      </c>
      <c r="F86" s="15">
        <v>274.03709999999995</v>
      </c>
      <c r="G86" s="38">
        <v>6616</v>
      </c>
      <c r="H86" s="38">
        <v>7035</v>
      </c>
      <c r="I86" s="15">
        <v>327.46590000000003</v>
      </c>
      <c r="J86" s="15">
        <v>244.68779999999998</v>
      </c>
      <c r="K86" s="38">
        <v>6917</v>
      </c>
      <c r="L86" s="38">
        <v>6558</v>
      </c>
      <c r="M86" s="15">
        <v>366.53454999999997</v>
      </c>
      <c r="N86" s="15">
        <v>201.03800000000001</v>
      </c>
      <c r="O86" s="1"/>
      <c r="P86" s="1"/>
      <c r="Q86" s="1"/>
    </row>
    <row r="87" spans="1:17" s="5" customFormat="1" ht="16.5" customHeight="1" x14ac:dyDescent="0.25">
      <c r="A87" s="10">
        <v>73</v>
      </c>
      <c r="B87" s="9" t="s">
        <v>21</v>
      </c>
      <c r="C87" s="38">
        <v>25405</v>
      </c>
      <c r="D87" s="38">
        <v>25041</v>
      </c>
      <c r="E87" s="15">
        <v>398.625</v>
      </c>
      <c r="F87" s="15">
        <v>1293.3510000000001</v>
      </c>
      <c r="G87" s="38">
        <v>21764</v>
      </c>
      <c r="H87" s="38">
        <v>28632</v>
      </c>
      <c r="I87" s="15">
        <v>665.85599999999999</v>
      </c>
      <c r="J87" s="15">
        <v>1278.1569999999999</v>
      </c>
      <c r="K87" s="38">
        <v>20049</v>
      </c>
      <c r="L87" s="38">
        <v>25527</v>
      </c>
      <c r="M87" s="15">
        <v>537.197</v>
      </c>
      <c r="N87" s="15">
        <v>1317.079</v>
      </c>
      <c r="O87" s="1"/>
      <c r="P87" s="1"/>
      <c r="Q87" s="1"/>
    </row>
    <row r="88" spans="1:17" s="5" customFormat="1" ht="16.5" customHeight="1" x14ac:dyDescent="0.25">
      <c r="A88" s="10">
        <v>74</v>
      </c>
      <c r="B88" s="9" t="s">
        <v>22</v>
      </c>
      <c r="C88" s="38">
        <v>130</v>
      </c>
      <c r="D88" s="38">
        <v>282</v>
      </c>
      <c r="E88" s="15">
        <v>0</v>
      </c>
      <c r="F88" s="15">
        <v>2.25</v>
      </c>
      <c r="G88" s="38">
        <v>119</v>
      </c>
      <c r="H88" s="38">
        <v>284</v>
      </c>
      <c r="I88" s="15">
        <v>0</v>
      </c>
      <c r="J88" s="15">
        <v>2.0646999999999998</v>
      </c>
      <c r="K88" s="38">
        <v>143</v>
      </c>
      <c r="L88" s="38">
        <v>244</v>
      </c>
      <c r="M88" s="15">
        <v>0</v>
      </c>
      <c r="N88" s="15">
        <v>1.3939000000000001</v>
      </c>
      <c r="O88" s="1"/>
      <c r="P88" s="1"/>
      <c r="Q88" s="1"/>
    </row>
    <row r="89" spans="1:17" ht="16.5" customHeight="1" x14ac:dyDescent="0.25">
      <c r="A89" s="27" t="s">
        <v>91</v>
      </c>
      <c r="B89" s="27"/>
      <c r="C89" s="40">
        <f t="shared" ref="C89:N89" si="1">SUM(C15:C88)</f>
        <v>1649176</v>
      </c>
      <c r="D89" s="40">
        <f t="shared" si="1"/>
        <v>1499088</v>
      </c>
      <c r="E89" s="17">
        <f t="shared" si="1"/>
        <v>50207.332852</v>
      </c>
      <c r="F89" s="17">
        <f t="shared" si="1"/>
        <v>70228.063024000003</v>
      </c>
      <c r="G89" s="40">
        <f t="shared" si="1"/>
        <v>1413561</v>
      </c>
      <c r="H89" s="40">
        <f t="shared" si="1"/>
        <v>1722491</v>
      </c>
      <c r="I89" s="17">
        <f t="shared" si="1"/>
        <v>49174.305198000009</v>
      </c>
      <c r="J89" s="17">
        <f t="shared" si="1"/>
        <v>69199.923498000018</v>
      </c>
      <c r="K89" s="40">
        <f t="shared" si="1"/>
        <v>1392704</v>
      </c>
      <c r="L89" s="40">
        <f t="shared" si="1"/>
        <v>1648882</v>
      </c>
      <c r="M89" s="17">
        <f t="shared" si="1"/>
        <v>47598.350501999994</v>
      </c>
      <c r="N89" s="17">
        <f t="shared" si="1"/>
        <v>70520.445171999992</v>
      </c>
    </row>
    <row r="90" spans="1:17" s="8" customFormat="1" ht="16.5" customHeight="1" x14ac:dyDescent="0.25">
      <c r="A90" s="28" t="s">
        <v>92</v>
      </c>
      <c r="B90" s="28"/>
      <c r="C90" s="43">
        <f t="shared" ref="C90:N90" si="2">C13+C89</f>
        <v>3108334</v>
      </c>
      <c r="D90" s="43">
        <f t="shared" si="2"/>
        <v>2793208</v>
      </c>
      <c r="E90" s="18">
        <f t="shared" si="2"/>
        <v>59039.543122000003</v>
      </c>
      <c r="F90" s="18">
        <f t="shared" si="2"/>
        <v>86206.948874000009</v>
      </c>
      <c r="G90" s="43">
        <f t="shared" si="2"/>
        <v>2661019</v>
      </c>
      <c r="H90" s="43">
        <f t="shared" si="2"/>
        <v>3254370</v>
      </c>
      <c r="I90" s="18">
        <f t="shared" si="2"/>
        <v>57696.75045800001</v>
      </c>
      <c r="J90" s="18">
        <f t="shared" si="2"/>
        <v>84944.369058000011</v>
      </c>
      <c r="K90" s="43">
        <f t="shared" si="2"/>
        <v>2600285</v>
      </c>
      <c r="L90" s="43">
        <f t="shared" si="2"/>
        <v>3112425</v>
      </c>
      <c r="M90" s="18">
        <f t="shared" si="2"/>
        <v>56739.131651999996</v>
      </c>
      <c r="N90" s="18">
        <f t="shared" si="2"/>
        <v>87700.666901999997</v>
      </c>
    </row>
    <row r="91" spans="1:17" s="8" customFormat="1" ht="19.5" customHeight="1" x14ac:dyDescent="0.25">
      <c r="A91" s="21" t="s">
        <v>93</v>
      </c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3"/>
    </row>
    <row r="92" spans="1:17" s="8" customFormat="1" ht="31.5" customHeight="1" x14ac:dyDescent="0.25">
      <c r="A92" s="20" t="s">
        <v>28</v>
      </c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</row>
  </sheetData>
  <mergeCells count="14">
    <mergeCell ref="A1:N1"/>
    <mergeCell ref="A2:N2"/>
    <mergeCell ref="A3:A4"/>
    <mergeCell ref="B3:B4"/>
    <mergeCell ref="C3:F3"/>
    <mergeCell ref="G3:J3"/>
    <mergeCell ref="K3:N3"/>
    <mergeCell ref="A92:N92"/>
    <mergeCell ref="A91:N91"/>
    <mergeCell ref="A5:N5"/>
    <mergeCell ref="A13:B13"/>
    <mergeCell ref="A14:N14"/>
    <mergeCell ref="A89:B89"/>
    <mergeCell ref="A90:B90"/>
  </mergeCells>
  <printOptions horizontalCentered="1"/>
  <pageMargins left="0" right="0" top="3.937007874015748E-2" bottom="3.937007874015748E-2" header="0.31496062992125984" footer="0.31496062992125984"/>
  <pageSetup scale="46" fitToHeight="2" orientation="landscape" r:id="rId1"/>
  <headerFooter>
    <oddFooter>Page &amp;P of &amp;N</oddFooter>
  </headerFooter>
  <rowBreaks count="1" manualBreakCount="1">
    <brk id="42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MONTHWISE</vt:lpstr>
      <vt:lpstr>MONTHWISE!Print_Area</vt:lpstr>
      <vt:lpstr>MONTHWISE!Print_Titles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2025-01-08T10:55:07Z</dcterms:modified>
</cp:coreProperties>
</file>