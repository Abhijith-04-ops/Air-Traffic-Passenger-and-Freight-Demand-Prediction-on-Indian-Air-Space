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MONTHWISE!$A$1:$N$92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K13" i="2"/>
  <c r="L13" i="2"/>
  <c r="M13" i="2"/>
  <c r="N13" i="2"/>
  <c r="D89" i="2"/>
  <c r="E89" i="2"/>
  <c r="F89" i="2"/>
  <c r="G89" i="2"/>
  <c r="H89" i="2"/>
  <c r="I89" i="2"/>
  <c r="J89" i="2"/>
  <c r="K89" i="2"/>
  <c r="L89" i="2"/>
  <c r="M89" i="2"/>
  <c r="N89" i="2"/>
  <c r="C89" i="2"/>
  <c r="D90" i="2" l="1"/>
  <c r="E90" i="2"/>
  <c r="F90" i="2"/>
  <c r="G90" i="2"/>
  <c r="H90" i="2"/>
  <c r="I90" i="2"/>
  <c r="J90" i="2"/>
  <c r="K90" i="2"/>
  <c r="L90" i="2"/>
  <c r="M90" i="2"/>
  <c r="N90" i="2"/>
  <c r="C90" i="2" l="1"/>
</calcChain>
</file>

<file path=xl/sharedStrings.xml><?xml version="1.0" encoding="utf-8"?>
<sst xmlns="http://schemas.openxmlformats.org/spreadsheetml/2006/main" count="107" uniqueCount="99">
  <si>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</si>
  <si>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</si>
  <si>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</si>
  <si>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</si>
  <si>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</si>
  <si>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</si>
  <si>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</si>
  <si>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</si>
  <si>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BIMAN BANGLADESH</t>
  </si>
  <si>
    <t>CATHAY PACIFIC</t>
  </si>
  <si>
    <t>DRUK AIR</t>
  </si>
  <si>
    <t>FEDERAL EXPRESS</t>
  </si>
  <si>
    <t>IRAN AIR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</si>
  <si>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</si>
  <si>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</si>
  <si>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</si>
  <si>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</si>
  <si>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</si>
  <si>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</si>
  <si>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</si>
  <si>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</si>
  <si>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</si>
  <si>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</si>
  <si>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</si>
  <si>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</si>
  <si>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</si>
  <si>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</si>
  <si>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</si>
  <si>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</si>
  <si>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</si>
  <si>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</si>
  <si>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</si>
  <si>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</si>
  <si>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</si>
  <si>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</si>
  <si>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</si>
  <si>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</si>
  <si>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</si>
  <si>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</si>
  <si>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</si>
  <si>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</si>
  <si>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</si>
  <si>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VISTARA AIRLINES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</si>
  <si>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</si>
  <si>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</si>
  <si>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</si>
  <si>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</si>
  <si>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</si>
  <si>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</si>
  <si>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</si>
  <si>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</si>
  <si>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LOT POLISH</t>
  </si>
  <si>
    <t>MALINDO AIRWAYS</t>
  </si>
  <si>
    <t>FLY DUBAI</t>
  </si>
  <si>
    <t>MYANMAR AIRLINES</t>
  </si>
  <si>
    <t>NEPAL AIRLINES CORPORATION</t>
  </si>
  <si>
    <t>RWANDAIR</t>
  </si>
  <si>
    <t>AIR SEYCHELLES</t>
  </si>
  <si>
    <t>JAZEERA AIRWAYS</t>
  </si>
  <si>
    <t>EGYPT AIR</t>
  </si>
  <si>
    <t>AIR INDIA EXPRESS</t>
  </si>
  <si>
    <t>GO AIR</t>
  </si>
  <si>
    <t>INDIGO</t>
  </si>
  <si>
    <t>SPICEJET</t>
  </si>
  <si>
    <t>AIR ASIA BERHAD</t>
  </si>
  <si>
    <t>CHINA AIRLINES LTD</t>
  </si>
  <si>
    <t>FINN AIR</t>
  </si>
  <si>
    <t>FLYNAS</t>
  </si>
  <si>
    <t>SCOOT TIGER AIR</t>
  </si>
  <si>
    <t>SINGAPORE AIRLINES</t>
  </si>
  <si>
    <t>UNITED PARCEL SERVICES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</si>
  <si>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</si>
  <si>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</si>
  <si>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</si>
  <si>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</si>
  <si>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</si>
  <si>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</si>
  <si>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</si>
  <si>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SALAM AIR</t>
  </si>
  <si>
    <t>SAUDIA</t>
  </si>
  <si>
    <t>THAI SMILE AIRWAYS</t>
  </si>
  <si>
    <t>AIR AUSTRAL</t>
  </si>
  <si>
    <t>BRITISH AIRWAYS</t>
  </si>
  <si>
    <t>BUDDHA AIR</t>
  </si>
  <si>
    <t>THAI AIR ASIA</t>
  </si>
  <si>
    <t>THAI LION AIR</t>
  </si>
  <si>
    <t>VIETJET AIR</t>
  </si>
  <si>
    <t>AZERBAIJAN AIRLINES</t>
  </si>
  <si>
    <t>Note: This table does not include the passengers and freight carried by domestic carriers entirely outside the Indian territory.</t>
  </si>
  <si>
    <t xml:space="preserve">OCTOBER </t>
  </si>
  <si>
    <t>NOVEMBER</t>
  </si>
  <si>
    <t>DECEMBER</t>
  </si>
  <si>
    <t>TABLE 2. AIRLINEWISE MONTHLY INTERNATIONAL TRAFFIC STATISTICS (SCHEDULED) FOR THE QUARTER OCTOBER-DECEMBER 2022 (P)</t>
  </si>
  <si>
    <t>ALLIANCE AIR</t>
  </si>
  <si>
    <t>AERO NOMAD</t>
  </si>
  <si>
    <t>BHUTAN AIRLINES</t>
  </si>
  <si>
    <t>AIR ASTANA</t>
  </si>
  <si>
    <t>ETIHAD AIRLINES</t>
  </si>
  <si>
    <t>SCAT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</si>
</sst>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 wrapText="1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tabSelected="1" view="pageBreakPreview" topLeftCell="A74" zoomScale="70" zoomScaleNormal="55" zoomScaleSheetLayoutView="70" workbookViewId="0">
      <selection activeCell="F84" sqref="F84"/>
    </sheetView>
  </sheetViews>
  <sheetFormatPr defaultRowHeight="15" x14ac:dyDescent="0.25"/>
  <cols>
    <col min="1" max="1" width="9" style="1" customWidth="1"/>
    <col min="2" max="2" width="41.5703125" style="9" customWidth="1"/>
    <col min="3" max="3" width="16.7109375" style="1" customWidth="1"/>
    <col min="4" max="4" width="15.85546875" style="1" customWidth="1"/>
    <col min="5" max="6" width="16.7109375" style="1" customWidth="1"/>
    <col min="7" max="7" width="15.28515625" style="1" customWidth="1"/>
    <col min="8" max="8" width="16.7109375" style="1" customWidth="1"/>
    <col min="9" max="9" width="13.28515625" style="1" customWidth="1"/>
    <col min="10" max="11" width="16.7109375" style="1" customWidth="1"/>
    <col min="12" max="12" width="12.5703125" style="1" customWidth="1"/>
    <col min="13" max="13" width="12.28515625" style="1" customWidth="1"/>
    <col min="14" max="14" width="13.140625" style="1" customWidth="1"/>
    <col min="15" max="25" width="12.42578125" style="1" customWidth="1"/>
    <col min="26" max="16384" width="9.140625" style="1"/>
  </cols>
  <sheetData>
    <row r="1" spans="1:14" ht="52.5" customHeight="1" x14ac:dyDescent="0.25">
      <c r="A1" s="23" t="s">
        <v>92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s="2" customFormat="1" ht="25.5" customHeight="1" x14ac:dyDescent="0.25">
      <c r="A2" s="24" t="s">
        <v>30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21" customHeight="1" x14ac:dyDescent="0.25">
      <c r="A3" s="25" t="s">
        <v>37</v>
      </c>
      <c r="B3" s="26" t="s">
        <v>0</v>
      </c>
      <c r="C3" s="25" t="s">
        <v>89</v>
      </c>
      <c r="D3" s="25"/>
      <c r="E3" s="25"/>
      <c r="F3" s="25"/>
      <c r="G3" s="25" t="s">
        <v>90</v>
      </c>
      <c r="H3" s="25"/>
      <c r="I3" s="25"/>
      <c r="J3" s="25"/>
      <c r="K3" s="25" t="s">
        <v>91</v>
      </c>
      <c r="L3" s="25"/>
      <c r="M3" s="25"/>
      <c r="N3" s="25"/>
    </row>
    <row r="4" spans="1:14" s="9" customFormat="1" ht="42" customHeight="1" x14ac:dyDescent="0.25">
      <c r="A4" s="25"/>
      <c r="B4" s="26"/>
      <c r="C4" s="22" t="s">
        <v>31</v>
      </c>
      <c r="D4" s="22" t="s">
        <v>32</v>
      </c>
      <c r="E4" s="22" t="s">
        <v>33</v>
      </c>
      <c r="F4" s="22" t="s">
        <v>34</v>
      </c>
      <c r="G4" s="22" t="s">
        <v>31</v>
      </c>
      <c r="H4" s="22" t="s">
        <v>32</v>
      </c>
      <c r="I4" s="22" t="s">
        <v>33</v>
      </c>
      <c r="J4" s="22" t="s">
        <v>34</v>
      </c>
      <c r="K4" s="22" t="s">
        <v>31</v>
      </c>
      <c r="L4" s="22" t="s">
        <v>32</v>
      </c>
      <c r="M4" s="22" t="s">
        <v>33</v>
      </c>
      <c r="N4" s="22" t="s">
        <v>34</v>
      </c>
    </row>
    <row r="5" spans="1:14" ht="27" customHeight="1" x14ac:dyDescent="0.25">
      <c r="A5" s="31" t="s">
        <v>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s="4" customFormat="1" ht="19.5" customHeight="1" x14ac:dyDescent="0.25">
      <c r="A6" s="3">
        <v>1</v>
      </c>
      <c r="B6" s="11" t="s">
        <v>2</v>
      </c>
      <c r="C6" s="12">
        <v>288733</v>
      </c>
      <c r="D6" s="12">
        <v>279995</v>
      </c>
      <c r="E6" s="13">
        <v>3591.7538000000009</v>
      </c>
      <c r="F6" s="13">
        <v>4941.8900999999996</v>
      </c>
      <c r="G6" s="12">
        <v>312118</v>
      </c>
      <c r="H6" s="12">
        <v>287623</v>
      </c>
      <c r="I6" s="13">
        <v>3327.5021999999994</v>
      </c>
      <c r="J6" s="13">
        <v>5009.8706000000002</v>
      </c>
      <c r="K6" s="12">
        <v>333282</v>
      </c>
      <c r="L6" s="12">
        <v>309156</v>
      </c>
      <c r="M6" s="13">
        <v>3626.4491000000003</v>
      </c>
      <c r="N6" s="13">
        <v>4872.3813999999993</v>
      </c>
    </row>
    <row r="7" spans="1:14" s="4" customFormat="1" ht="19.5" customHeight="1" x14ac:dyDescent="0.25">
      <c r="A7" s="3">
        <v>2</v>
      </c>
      <c r="B7" s="14" t="s">
        <v>60</v>
      </c>
      <c r="C7" s="12">
        <v>149046</v>
      </c>
      <c r="D7" s="12">
        <v>169763</v>
      </c>
      <c r="E7" s="15">
        <v>39.216999999999999</v>
      </c>
      <c r="F7" s="15">
        <v>2280.4661000000006</v>
      </c>
      <c r="G7" s="12">
        <v>157778</v>
      </c>
      <c r="H7" s="12">
        <v>164399</v>
      </c>
      <c r="I7" s="13">
        <v>84.817999999999998</v>
      </c>
      <c r="J7" s="13">
        <v>2085.8289</v>
      </c>
      <c r="K7" s="12">
        <v>180386</v>
      </c>
      <c r="L7" s="12">
        <v>175038</v>
      </c>
      <c r="M7" s="13">
        <v>137.416</v>
      </c>
      <c r="N7" s="13">
        <v>1983.432</v>
      </c>
    </row>
    <row r="8" spans="1:14" s="4" customFormat="1" ht="19.5" customHeight="1" x14ac:dyDescent="0.25">
      <c r="A8" s="3">
        <v>3</v>
      </c>
      <c r="B8" s="14" t="s">
        <v>93</v>
      </c>
      <c r="C8" s="12">
        <v>0</v>
      </c>
      <c r="D8" s="12">
        <v>0</v>
      </c>
      <c r="E8" s="15">
        <v>0</v>
      </c>
      <c r="F8" s="15">
        <v>0</v>
      </c>
      <c r="G8" s="12">
        <v>0</v>
      </c>
      <c r="H8" s="12">
        <v>0</v>
      </c>
      <c r="I8" s="13">
        <v>0</v>
      </c>
      <c r="J8" s="13">
        <v>0</v>
      </c>
      <c r="K8" s="12">
        <v>347</v>
      </c>
      <c r="L8" s="12">
        <v>238</v>
      </c>
      <c r="M8" s="13">
        <v>0</v>
      </c>
      <c r="N8" s="13">
        <v>0</v>
      </c>
    </row>
    <row r="9" spans="1:14" s="4" customFormat="1" ht="19.5" customHeight="1" x14ac:dyDescent="0.25">
      <c r="A9" s="3">
        <v>4</v>
      </c>
      <c r="B9" s="11" t="s">
        <v>61</v>
      </c>
      <c r="C9" s="12">
        <v>51696</v>
      </c>
      <c r="D9" s="12">
        <v>61277</v>
      </c>
      <c r="E9" s="13">
        <v>51.768719999999995</v>
      </c>
      <c r="F9" s="13">
        <v>262.24844999999993</v>
      </c>
      <c r="G9" s="12">
        <v>51526</v>
      </c>
      <c r="H9" s="12">
        <v>52141</v>
      </c>
      <c r="I9" s="13">
        <v>52.989669999999997</v>
      </c>
      <c r="J9" s="13">
        <v>174.68438</v>
      </c>
      <c r="K9" s="16">
        <v>66210</v>
      </c>
      <c r="L9" s="16">
        <v>67929</v>
      </c>
      <c r="M9" s="15">
        <v>53.414399999999993</v>
      </c>
      <c r="N9" s="15">
        <v>290.27643000000006</v>
      </c>
    </row>
    <row r="10" spans="1:14" s="4" customFormat="1" ht="19.5" customHeight="1" x14ac:dyDescent="0.25">
      <c r="A10" s="3">
        <v>5</v>
      </c>
      <c r="B10" s="11" t="s">
        <v>62</v>
      </c>
      <c r="C10" s="12">
        <v>350906</v>
      </c>
      <c r="D10" s="12">
        <v>355799</v>
      </c>
      <c r="E10" s="13">
        <v>360.90899999999999</v>
      </c>
      <c r="F10" s="13">
        <v>2692.1840000000002</v>
      </c>
      <c r="G10" s="12">
        <v>390637</v>
      </c>
      <c r="H10" s="12">
        <v>358661</v>
      </c>
      <c r="I10" s="13">
        <v>367.94</v>
      </c>
      <c r="J10" s="13">
        <v>2444.5140000000001</v>
      </c>
      <c r="K10" s="12">
        <v>417110</v>
      </c>
      <c r="L10" s="12">
        <v>396057</v>
      </c>
      <c r="M10" s="13">
        <v>298.23200000000003</v>
      </c>
      <c r="N10" s="13">
        <v>2455.471</v>
      </c>
    </row>
    <row r="11" spans="1:14" s="4" customFormat="1" ht="19.5" customHeight="1" x14ac:dyDescent="0.25">
      <c r="A11" s="3">
        <v>6</v>
      </c>
      <c r="B11" s="14" t="s">
        <v>63</v>
      </c>
      <c r="C11" s="12">
        <v>75253</v>
      </c>
      <c r="D11" s="12">
        <v>82539</v>
      </c>
      <c r="E11" s="15">
        <v>57.554749999999999</v>
      </c>
      <c r="F11" s="15">
        <v>540.53558999999984</v>
      </c>
      <c r="G11" s="12">
        <v>79584</v>
      </c>
      <c r="H11" s="12">
        <v>84274</v>
      </c>
      <c r="I11" s="13">
        <v>71.246300000000005</v>
      </c>
      <c r="J11" s="13">
        <v>536.71925999999996</v>
      </c>
      <c r="K11" s="12">
        <v>90895</v>
      </c>
      <c r="L11" s="12">
        <v>94973</v>
      </c>
      <c r="M11" s="13">
        <v>81.230999999999995</v>
      </c>
      <c r="N11" s="13">
        <v>569.86302999999987</v>
      </c>
    </row>
    <row r="12" spans="1:14" s="4" customFormat="1" ht="19.5" customHeight="1" x14ac:dyDescent="0.25">
      <c r="A12" s="3">
        <v>7</v>
      </c>
      <c r="B12" s="14" t="s">
        <v>42</v>
      </c>
      <c r="C12" s="12">
        <v>53994</v>
      </c>
      <c r="D12" s="12">
        <v>53817</v>
      </c>
      <c r="E12" s="15">
        <v>561.79</v>
      </c>
      <c r="F12" s="15">
        <v>737.59199999999998</v>
      </c>
      <c r="G12" s="12">
        <v>62123</v>
      </c>
      <c r="H12" s="12">
        <v>53725</v>
      </c>
      <c r="I12" s="13">
        <v>598.1581000000001</v>
      </c>
      <c r="J12" s="13">
        <v>676.11579999999992</v>
      </c>
      <c r="K12" s="12">
        <v>77239</v>
      </c>
      <c r="L12" s="12">
        <v>70101</v>
      </c>
      <c r="M12" s="13">
        <v>669.3819000000002</v>
      </c>
      <c r="N12" s="13">
        <v>787.19055000000003</v>
      </c>
    </row>
    <row r="13" spans="1:14" ht="31.5" customHeight="1" x14ac:dyDescent="0.25">
      <c r="A13" s="32" t="s">
        <v>3</v>
      </c>
      <c r="B13" s="32"/>
      <c r="C13" s="5">
        <f t="shared" ref="C13:N13" si="0">SUM(C6:C12)</f>
        <v>969628</v>
      </c>
      <c r="D13" s="5">
        <f t="shared" si="0"/>
        <v>1003190</v>
      </c>
      <c r="E13" s="6">
        <f t="shared" si="0"/>
        <v>4662.9932700000008</v>
      </c>
      <c r="F13" s="6">
        <f t="shared" si="0"/>
        <v>11454.91624</v>
      </c>
      <c r="G13" s="5">
        <f t="shared" si="0"/>
        <v>1053766</v>
      </c>
      <c r="H13" s="5">
        <f t="shared" si="0"/>
        <v>1000823</v>
      </c>
      <c r="I13" s="6">
        <f t="shared" si="0"/>
        <v>4502.6542699999991</v>
      </c>
      <c r="J13" s="6">
        <f t="shared" si="0"/>
        <v>10927.73294</v>
      </c>
      <c r="K13" s="5">
        <f t="shared" si="0"/>
        <v>1165469</v>
      </c>
      <c r="L13" s="5">
        <f t="shared" si="0"/>
        <v>1113492</v>
      </c>
      <c r="M13" s="6">
        <f t="shared" si="0"/>
        <v>4866.1244000000006</v>
      </c>
      <c r="N13" s="6">
        <f t="shared" si="0"/>
        <v>10958.614409999998</v>
      </c>
    </row>
    <row r="14" spans="1:14" ht="28.5" customHeight="1" x14ac:dyDescent="0.25">
      <c r="A14" s="33" t="s">
        <v>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spans="1:14" ht="24.75" customHeight="1" x14ac:dyDescent="0.25">
      <c r="A15" s="10">
        <v>1</v>
      </c>
      <c r="B15" s="11" t="s">
        <v>94</v>
      </c>
      <c r="C15" s="12">
        <v>175</v>
      </c>
      <c r="D15" s="12">
        <v>124</v>
      </c>
      <c r="E15" s="13">
        <v>0</v>
      </c>
      <c r="F15" s="13">
        <v>7.1769999999999996</v>
      </c>
      <c r="G15" s="12">
        <v>163</v>
      </c>
      <c r="H15" s="12">
        <v>124</v>
      </c>
      <c r="I15" s="13">
        <v>0</v>
      </c>
      <c r="J15" s="13">
        <v>7.1769999999999996</v>
      </c>
      <c r="K15" s="12">
        <v>198</v>
      </c>
      <c r="L15" s="12">
        <v>317</v>
      </c>
      <c r="M15" s="13">
        <v>0</v>
      </c>
      <c r="N15" s="13">
        <v>5.1630000000000003</v>
      </c>
    </row>
    <row r="16" spans="1:14" ht="24.75" customHeight="1" x14ac:dyDescent="0.25">
      <c r="A16" s="10">
        <v>2</v>
      </c>
      <c r="B16" s="11" t="s">
        <v>5</v>
      </c>
      <c r="C16" s="12">
        <v>5092</v>
      </c>
      <c r="D16" s="12">
        <v>4311</v>
      </c>
      <c r="E16" s="13">
        <v>31.611000000000001</v>
      </c>
      <c r="F16" s="13">
        <v>191.91499999999999</v>
      </c>
      <c r="G16" s="12">
        <v>5317</v>
      </c>
      <c r="H16" s="12">
        <v>4731</v>
      </c>
      <c r="I16" s="13">
        <v>28.227</v>
      </c>
      <c r="J16" s="13">
        <v>158.267</v>
      </c>
      <c r="K16" s="12">
        <v>6417</v>
      </c>
      <c r="L16" s="12">
        <v>5113</v>
      </c>
      <c r="M16" s="13">
        <v>52.860999999999997</v>
      </c>
      <c r="N16" s="13">
        <v>327.99099999999999</v>
      </c>
    </row>
    <row r="17" spans="1:15" ht="31.5" customHeight="1" x14ac:dyDescent="0.25">
      <c r="A17" s="10">
        <v>3</v>
      </c>
      <c r="B17" s="14" t="s">
        <v>6</v>
      </c>
      <c r="C17" s="12">
        <v>0</v>
      </c>
      <c r="D17" s="12">
        <v>0</v>
      </c>
      <c r="E17" s="15">
        <v>9136.2649999999994</v>
      </c>
      <c r="F17" s="15">
        <v>8669.3709999999992</v>
      </c>
      <c r="G17" s="12">
        <v>0</v>
      </c>
      <c r="H17" s="12">
        <v>0</v>
      </c>
      <c r="I17" s="13">
        <v>9385.94</v>
      </c>
      <c r="J17" s="13">
        <v>8193.5509999999995</v>
      </c>
      <c r="K17" s="12">
        <v>0</v>
      </c>
      <c r="L17" s="12">
        <v>0</v>
      </c>
      <c r="M17" s="13">
        <v>9318.0370000000003</v>
      </c>
      <c r="N17" s="13">
        <v>7950.6670000000004</v>
      </c>
    </row>
    <row r="18" spans="1:15" ht="31.5" customHeight="1" x14ac:dyDescent="0.25">
      <c r="A18" s="10">
        <v>4</v>
      </c>
      <c r="B18" s="11" t="s">
        <v>7</v>
      </c>
      <c r="C18" s="12">
        <v>76800</v>
      </c>
      <c r="D18" s="12">
        <v>75048</v>
      </c>
      <c r="E18" s="13">
        <v>85.320999999999998</v>
      </c>
      <c r="F18" s="13">
        <v>1081.0830000000001</v>
      </c>
      <c r="G18" s="12">
        <v>75790</v>
      </c>
      <c r="H18" s="12">
        <v>70089</v>
      </c>
      <c r="I18" s="13">
        <v>211.107</v>
      </c>
      <c r="J18" s="13">
        <v>857.51700000000005</v>
      </c>
      <c r="K18" s="16">
        <v>77966</v>
      </c>
      <c r="L18" s="16">
        <v>76458</v>
      </c>
      <c r="M18" s="15">
        <v>93.899000000000001</v>
      </c>
      <c r="N18" s="15">
        <v>972.76</v>
      </c>
    </row>
    <row r="19" spans="1:15" ht="31.5" customHeight="1" x14ac:dyDescent="0.25">
      <c r="A19" s="10">
        <v>5</v>
      </c>
      <c r="B19" s="11" t="s">
        <v>72</v>
      </c>
      <c r="C19" s="12">
        <v>22781</v>
      </c>
      <c r="D19" s="12">
        <v>28911</v>
      </c>
      <c r="E19" s="13">
        <v>57.01</v>
      </c>
      <c r="F19" s="13">
        <v>288.512</v>
      </c>
      <c r="G19" s="12">
        <v>26977</v>
      </c>
      <c r="H19" s="12">
        <v>25180</v>
      </c>
      <c r="I19" s="13">
        <v>23.789000000000001</v>
      </c>
      <c r="J19" s="13">
        <v>198.82499999999999</v>
      </c>
      <c r="K19" s="12">
        <v>29780</v>
      </c>
      <c r="L19" s="12">
        <v>29548</v>
      </c>
      <c r="M19" s="13">
        <v>11.231</v>
      </c>
      <c r="N19" s="13">
        <v>223.55099999999999</v>
      </c>
      <c r="O19" s="7"/>
    </row>
    <row r="20" spans="1:15" ht="31.5" customHeight="1" x14ac:dyDescent="0.25">
      <c r="A20" s="10">
        <v>6</v>
      </c>
      <c r="B20" s="11" t="s">
        <v>64</v>
      </c>
      <c r="C20" s="12">
        <v>32922</v>
      </c>
      <c r="D20" s="12">
        <v>32334</v>
      </c>
      <c r="E20" s="13">
        <v>51.82</v>
      </c>
      <c r="F20" s="13">
        <v>330.779</v>
      </c>
      <c r="G20" s="12">
        <v>35125</v>
      </c>
      <c r="H20" s="12">
        <v>33461</v>
      </c>
      <c r="I20" s="13">
        <v>71.188100000000006</v>
      </c>
      <c r="J20" s="13">
        <v>238.94550000000001</v>
      </c>
      <c r="K20" s="12">
        <v>38719</v>
      </c>
      <c r="L20" s="12">
        <v>33298</v>
      </c>
      <c r="M20" s="13">
        <v>56.637999999999998</v>
      </c>
      <c r="N20" s="13">
        <v>233.21100000000001</v>
      </c>
    </row>
    <row r="21" spans="1:15" ht="31.5" customHeight="1" x14ac:dyDescent="0.25">
      <c r="A21" s="10">
        <v>7</v>
      </c>
      <c r="B21" s="11" t="s">
        <v>48</v>
      </c>
      <c r="C21" s="16">
        <v>4636</v>
      </c>
      <c r="D21" s="16">
        <v>3883</v>
      </c>
      <c r="E21" s="13">
        <v>86.316999999999993</v>
      </c>
      <c r="F21" s="13">
        <v>311.20499999999998</v>
      </c>
      <c r="G21" s="12">
        <v>5249</v>
      </c>
      <c r="H21" s="12">
        <v>4801</v>
      </c>
      <c r="I21" s="13">
        <v>124.98</v>
      </c>
      <c r="J21" s="13">
        <v>177.09700000000001</v>
      </c>
      <c r="K21" s="12">
        <v>4984</v>
      </c>
      <c r="L21" s="12">
        <v>4942</v>
      </c>
      <c r="M21" s="13">
        <v>139.32300000000001</v>
      </c>
      <c r="N21" s="13">
        <v>229.25899999999999</v>
      </c>
    </row>
    <row r="22" spans="1:15" s="8" customFormat="1" ht="27.95" customHeight="1" x14ac:dyDescent="0.25">
      <c r="A22" s="10">
        <v>8</v>
      </c>
      <c r="B22" s="17" t="s">
        <v>96</v>
      </c>
      <c r="C22" s="16">
        <v>3850</v>
      </c>
      <c r="D22" s="16">
        <v>3226</v>
      </c>
      <c r="E22" s="13">
        <v>2.1000000000000001E-2</v>
      </c>
      <c r="F22" s="13">
        <v>45.274000000000001</v>
      </c>
      <c r="G22" s="12">
        <v>4576</v>
      </c>
      <c r="H22" s="12">
        <v>5078</v>
      </c>
      <c r="I22" s="13">
        <v>2.9870000000000001</v>
      </c>
      <c r="J22" s="13">
        <v>59.548999999999999</v>
      </c>
      <c r="K22" s="12">
        <v>6090</v>
      </c>
      <c r="L22" s="12">
        <v>5632</v>
      </c>
      <c r="M22" s="13">
        <v>0.64200000000000002</v>
      </c>
      <c r="N22" s="13">
        <v>83.34</v>
      </c>
    </row>
    <row r="23" spans="1:15" s="8" customFormat="1" ht="27.95" customHeight="1" x14ac:dyDescent="0.25">
      <c r="A23" s="10">
        <v>9</v>
      </c>
      <c r="B23" s="14" t="s">
        <v>81</v>
      </c>
      <c r="C23" s="12">
        <v>430</v>
      </c>
      <c r="D23" s="12">
        <v>538</v>
      </c>
      <c r="E23" s="13">
        <v>0</v>
      </c>
      <c r="F23" s="13">
        <v>6.3239999999999998</v>
      </c>
      <c r="G23" s="16">
        <v>468</v>
      </c>
      <c r="H23" s="16">
        <v>378</v>
      </c>
      <c r="I23" s="15">
        <v>0.26500000000000001</v>
      </c>
      <c r="J23" s="15">
        <v>3.681</v>
      </c>
      <c r="K23" s="16">
        <v>835</v>
      </c>
      <c r="L23" s="16">
        <v>660</v>
      </c>
      <c r="M23" s="15">
        <v>0</v>
      </c>
      <c r="N23" s="15">
        <v>3.9580000000000002</v>
      </c>
    </row>
    <row r="24" spans="1:15" s="8" customFormat="1" ht="27.95" customHeight="1" x14ac:dyDescent="0.25">
      <c r="A24" s="10">
        <v>10</v>
      </c>
      <c r="B24" s="11" t="s">
        <v>43</v>
      </c>
      <c r="C24" s="12">
        <v>13146</v>
      </c>
      <c r="D24" s="12">
        <v>12180</v>
      </c>
      <c r="E24" s="13">
        <v>244.70699999999999</v>
      </c>
      <c r="F24" s="13">
        <v>217.15600000000001</v>
      </c>
      <c r="G24" s="12">
        <v>12124</v>
      </c>
      <c r="H24" s="12">
        <v>10855</v>
      </c>
      <c r="I24" s="13">
        <v>210.96600000000001</v>
      </c>
      <c r="J24" s="13">
        <v>251.16499999999999</v>
      </c>
      <c r="K24" s="12">
        <v>12670</v>
      </c>
      <c r="L24" s="12">
        <v>12259</v>
      </c>
      <c r="M24" s="13">
        <v>182.904</v>
      </c>
      <c r="N24" s="13">
        <v>260.10899999999998</v>
      </c>
    </row>
    <row r="25" spans="1:15" s="8" customFormat="1" ht="27.75" customHeight="1" x14ac:dyDescent="0.25">
      <c r="A25" s="10">
        <v>11</v>
      </c>
      <c r="B25" s="11" t="s">
        <v>44</v>
      </c>
      <c r="C25" s="12">
        <v>22988</v>
      </c>
      <c r="D25" s="12">
        <v>23178</v>
      </c>
      <c r="E25" s="13">
        <v>1008.332</v>
      </c>
      <c r="F25" s="13">
        <v>1340.82</v>
      </c>
      <c r="G25" s="12">
        <v>28113</v>
      </c>
      <c r="H25" s="12">
        <v>28219</v>
      </c>
      <c r="I25" s="13">
        <v>1051.7629999999999</v>
      </c>
      <c r="J25" s="13">
        <v>1449.327</v>
      </c>
      <c r="K25" s="12">
        <v>31289</v>
      </c>
      <c r="L25" s="12">
        <v>30654</v>
      </c>
      <c r="M25" s="13">
        <v>1032.557</v>
      </c>
      <c r="N25" s="13">
        <v>1575.857</v>
      </c>
    </row>
    <row r="26" spans="1:15" s="8" customFormat="1" ht="27.75" customHeight="1" x14ac:dyDescent="0.25">
      <c r="A26" s="10">
        <v>12</v>
      </c>
      <c r="B26" s="11" t="s">
        <v>49</v>
      </c>
      <c r="C26" s="12">
        <v>5934</v>
      </c>
      <c r="D26" s="12">
        <v>5625</v>
      </c>
      <c r="E26" s="13">
        <v>6.8129999999999997</v>
      </c>
      <c r="F26" s="13">
        <v>224.28</v>
      </c>
      <c r="G26" s="12">
        <v>6248</v>
      </c>
      <c r="H26" s="12">
        <v>5247</v>
      </c>
      <c r="I26" s="13">
        <v>44.006999999999998</v>
      </c>
      <c r="J26" s="13">
        <v>298.94099999999997</v>
      </c>
      <c r="K26" s="12">
        <v>6981</v>
      </c>
      <c r="L26" s="12">
        <v>6663</v>
      </c>
      <c r="M26" s="13">
        <v>16.652999999999999</v>
      </c>
      <c r="N26" s="13">
        <v>261.84100000000001</v>
      </c>
    </row>
    <row r="27" spans="1:15" s="8" customFormat="1" ht="27.75" customHeight="1" x14ac:dyDescent="0.25">
      <c r="A27" s="10">
        <v>13</v>
      </c>
      <c r="B27" s="17" t="s">
        <v>57</v>
      </c>
      <c r="C27" s="16">
        <v>267</v>
      </c>
      <c r="D27" s="16">
        <v>578</v>
      </c>
      <c r="E27" s="13">
        <v>0.03</v>
      </c>
      <c r="F27" s="13">
        <v>6.6280000000000001</v>
      </c>
      <c r="G27" s="12">
        <v>542</v>
      </c>
      <c r="H27" s="12">
        <v>468</v>
      </c>
      <c r="I27" s="13">
        <v>0.53800000000000003</v>
      </c>
      <c r="J27" s="13">
        <v>10.191000000000001</v>
      </c>
      <c r="K27" s="12">
        <v>772</v>
      </c>
      <c r="L27" s="12">
        <v>869</v>
      </c>
      <c r="M27" s="13">
        <v>0.503</v>
      </c>
      <c r="N27" s="13">
        <v>7.3979999999999997</v>
      </c>
    </row>
    <row r="28" spans="1:15" s="8" customFormat="1" ht="27.75" customHeight="1" x14ac:dyDescent="0.25">
      <c r="A28" s="10">
        <v>14</v>
      </c>
      <c r="B28" s="11" t="s">
        <v>73</v>
      </c>
      <c r="C28" s="12">
        <v>2565</v>
      </c>
      <c r="D28" s="12">
        <v>2363</v>
      </c>
      <c r="E28" s="13">
        <v>6.0000000000000001E-3</v>
      </c>
      <c r="F28" s="13">
        <v>73.167500000000004</v>
      </c>
      <c r="G28" s="12">
        <v>2777</v>
      </c>
      <c r="H28" s="12">
        <v>2371</v>
      </c>
      <c r="I28" s="13">
        <v>2.8000000000000001E-2</v>
      </c>
      <c r="J28" s="13">
        <v>76.566399999999987</v>
      </c>
      <c r="K28" s="12">
        <v>3915</v>
      </c>
      <c r="L28" s="12">
        <v>3019</v>
      </c>
      <c r="M28" s="13">
        <v>19.010000000000002</v>
      </c>
      <c r="N28" s="13">
        <v>92.986999999999995</v>
      </c>
    </row>
    <row r="29" spans="1:15" s="8" customFormat="1" ht="27.75" customHeight="1" x14ac:dyDescent="0.25">
      <c r="A29" s="10">
        <v>15</v>
      </c>
      <c r="B29" s="11" t="s">
        <v>47</v>
      </c>
      <c r="C29" s="12">
        <v>2132</v>
      </c>
      <c r="D29" s="12">
        <v>2295</v>
      </c>
      <c r="E29" s="13">
        <v>245.476</v>
      </c>
      <c r="F29" s="13">
        <v>310.46800000000002</v>
      </c>
      <c r="G29" s="12">
        <v>3074</v>
      </c>
      <c r="H29" s="12">
        <v>2939</v>
      </c>
      <c r="I29" s="13">
        <v>182.64</v>
      </c>
      <c r="J29" s="13">
        <v>263.14999999999998</v>
      </c>
      <c r="K29" s="12">
        <v>3566</v>
      </c>
      <c r="L29" s="12">
        <v>3932</v>
      </c>
      <c r="M29" s="13">
        <v>279.721</v>
      </c>
      <c r="N29" s="13">
        <v>340.38499999999999</v>
      </c>
    </row>
    <row r="30" spans="1:15" s="8" customFormat="1" ht="27.75" customHeight="1" x14ac:dyDescent="0.25">
      <c r="A30" s="10">
        <v>16</v>
      </c>
      <c r="B30" s="11" t="s">
        <v>74</v>
      </c>
      <c r="C30" s="12">
        <v>8340</v>
      </c>
      <c r="D30" s="12">
        <v>5517</v>
      </c>
      <c r="E30" s="13">
        <v>100.6511</v>
      </c>
      <c r="F30" s="13">
        <v>291.9547</v>
      </c>
      <c r="G30" s="12">
        <v>8516</v>
      </c>
      <c r="H30" s="12">
        <v>4866</v>
      </c>
      <c r="I30" s="13">
        <v>107.0883</v>
      </c>
      <c r="J30" s="13">
        <v>246.72460000000001</v>
      </c>
      <c r="K30" s="12">
        <v>8340</v>
      </c>
      <c r="L30" s="12">
        <v>5517</v>
      </c>
      <c r="M30" s="13">
        <v>100.6511</v>
      </c>
      <c r="N30" s="13">
        <v>291.9547</v>
      </c>
    </row>
    <row r="31" spans="1:15" s="8" customFormat="1" ht="27.75" customHeight="1" x14ac:dyDescent="0.25">
      <c r="A31" s="10">
        <v>17</v>
      </c>
      <c r="B31" s="11" t="s">
        <v>75</v>
      </c>
      <c r="C31" s="12">
        <v>29</v>
      </c>
      <c r="D31" s="12">
        <v>27</v>
      </c>
      <c r="E31" s="13">
        <v>0</v>
      </c>
      <c r="F31" s="13">
        <v>25.492999999999999</v>
      </c>
      <c r="G31" s="12">
        <v>7</v>
      </c>
      <c r="H31" s="12">
        <v>2</v>
      </c>
      <c r="I31" s="13">
        <v>1.0509999999999999</v>
      </c>
      <c r="J31" s="13">
        <v>59.186999999999998</v>
      </c>
      <c r="K31" s="12">
        <v>5</v>
      </c>
      <c r="L31" s="12">
        <v>1</v>
      </c>
      <c r="M31" s="13">
        <v>20.233000000000001</v>
      </c>
      <c r="N31" s="13">
        <v>25.277000000000001</v>
      </c>
    </row>
    <row r="32" spans="1:15" s="8" customFormat="1" ht="27.75" customHeight="1" x14ac:dyDescent="0.25">
      <c r="A32" s="10">
        <v>18</v>
      </c>
      <c r="B32" s="11" t="s">
        <v>87</v>
      </c>
      <c r="C32" s="12">
        <v>409</v>
      </c>
      <c r="D32" s="12">
        <v>404</v>
      </c>
      <c r="E32" s="13">
        <v>0</v>
      </c>
      <c r="F32" s="13">
        <v>0</v>
      </c>
      <c r="G32" s="12">
        <v>1328</v>
      </c>
      <c r="H32" s="12">
        <v>926</v>
      </c>
      <c r="I32" s="13">
        <v>0</v>
      </c>
      <c r="J32" s="13">
        <v>0</v>
      </c>
      <c r="K32" s="12">
        <v>1285</v>
      </c>
      <c r="L32" s="12">
        <v>1164</v>
      </c>
      <c r="M32" s="13">
        <v>0</v>
      </c>
      <c r="N32" s="13">
        <v>0</v>
      </c>
    </row>
    <row r="33" spans="1:14" s="8" customFormat="1" ht="27.75" customHeight="1" x14ac:dyDescent="0.25">
      <c r="A33" s="10">
        <v>19</v>
      </c>
      <c r="B33" s="11" t="s">
        <v>95</v>
      </c>
      <c r="C33" s="12">
        <v>570</v>
      </c>
      <c r="D33" s="12">
        <v>642</v>
      </c>
      <c r="E33" s="13">
        <v>0</v>
      </c>
      <c r="F33" s="13">
        <v>0</v>
      </c>
      <c r="G33" s="12">
        <v>940</v>
      </c>
      <c r="H33" s="12">
        <v>839</v>
      </c>
      <c r="I33" s="13">
        <v>0</v>
      </c>
      <c r="J33" s="13">
        <v>0</v>
      </c>
      <c r="K33" s="12">
        <v>570</v>
      </c>
      <c r="L33" s="12">
        <v>590</v>
      </c>
      <c r="M33" s="15">
        <v>0</v>
      </c>
      <c r="N33" s="15">
        <v>0</v>
      </c>
    </row>
    <row r="34" spans="1:14" s="8" customFormat="1" ht="27.75" customHeight="1" x14ac:dyDescent="0.25">
      <c r="A34" s="10">
        <v>20</v>
      </c>
      <c r="B34" s="11" t="s">
        <v>8</v>
      </c>
      <c r="C34" s="12">
        <v>8532</v>
      </c>
      <c r="D34" s="12">
        <v>10068</v>
      </c>
      <c r="E34" s="13">
        <v>0.21099999999999999</v>
      </c>
      <c r="F34" s="13">
        <v>109.462</v>
      </c>
      <c r="G34" s="12">
        <v>8631</v>
      </c>
      <c r="H34" s="12">
        <v>9996</v>
      </c>
      <c r="I34" s="13">
        <v>0.71799999999999997</v>
      </c>
      <c r="J34" s="13">
        <v>143.38900000000001</v>
      </c>
      <c r="K34" s="12">
        <v>10547</v>
      </c>
      <c r="L34" s="12">
        <v>10975</v>
      </c>
      <c r="M34" s="13">
        <v>0.41299999999999998</v>
      </c>
      <c r="N34" s="13">
        <v>120.896</v>
      </c>
    </row>
    <row r="35" spans="1:14" s="8" customFormat="1" ht="27.75" customHeight="1" x14ac:dyDescent="0.25">
      <c r="A35" s="10">
        <v>21</v>
      </c>
      <c r="B35" s="11" t="s">
        <v>82</v>
      </c>
      <c r="C35" s="12">
        <v>40270</v>
      </c>
      <c r="D35" s="12">
        <v>32290</v>
      </c>
      <c r="E35" s="13">
        <v>1412.24</v>
      </c>
      <c r="F35" s="13">
        <v>2704.8</v>
      </c>
      <c r="G35" s="16">
        <v>41762</v>
      </c>
      <c r="H35" s="16">
        <v>31720</v>
      </c>
      <c r="I35" s="13">
        <v>1372.17</v>
      </c>
      <c r="J35" s="13">
        <v>2527.91</v>
      </c>
      <c r="K35" s="12">
        <v>54267</v>
      </c>
      <c r="L35" s="12">
        <v>45200</v>
      </c>
      <c r="M35" s="13">
        <v>1052.0899999999999</v>
      </c>
      <c r="N35" s="13">
        <v>2954.27</v>
      </c>
    </row>
    <row r="36" spans="1:14" s="8" customFormat="1" ht="27.75" customHeight="1" x14ac:dyDescent="0.25">
      <c r="A36" s="10">
        <v>22</v>
      </c>
      <c r="B36" s="11" t="s">
        <v>83</v>
      </c>
      <c r="C36" s="12">
        <v>443</v>
      </c>
      <c r="D36" s="12">
        <v>501</v>
      </c>
      <c r="E36" s="13">
        <v>0</v>
      </c>
      <c r="F36" s="13">
        <v>0</v>
      </c>
      <c r="G36" s="16">
        <v>508</v>
      </c>
      <c r="H36" s="16">
        <v>427</v>
      </c>
      <c r="I36" s="13">
        <v>0</v>
      </c>
      <c r="J36" s="13">
        <v>0</v>
      </c>
      <c r="K36" s="12">
        <v>554</v>
      </c>
      <c r="L36" s="12">
        <v>513</v>
      </c>
      <c r="M36" s="13">
        <v>0</v>
      </c>
      <c r="N36" s="13">
        <v>0</v>
      </c>
    </row>
    <row r="37" spans="1:14" s="8" customFormat="1" ht="27.75" customHeight="1" x14ac:dyDescent="0.25">
      <c r="A37" s="10">
        <v>23</v>
      </c>
      <c r="B37" s="14" t="s">
        <v>9</v>
      </c>
      <c r="C37" s="12">
        <v>7410</v>
      </c>
      <c r="D37" s="12">
        <v>6622</v>
      </c>
      <c r="E37" s="13">
        <v>5904.5784999999996</v>
      </c>
      <c r="F37" s="13">
        <v>2619.3737999999998</v>
      </c>
      <c r="G37" s="12">
        <v>9653</v>
      </c>
      <c r="H37" s="12">
        <v>10810</v>
      </c>
      <c r="I37" s="13">
        <v>5169.1335999999992</v>
      </c>
      <c r="J37" s="13">
        <v>2410.5005200000001</v>
      </c>
      <c r="K37" s="12">
        <v>14567</v>
      </c>
      <c r="L37" s="12">
        <v>13611</v>
      </c>
      <c r="M37" s="13">
        <v>4015.4491999999996</v>
      </c>
      <c r="N37" s="13">
        <v>1894.1994999999999</v>
      </c>
    </row>
    <row r="38" spans="1:14" s="8" customFormat="1" ht="27.95" customHeight="1" x14ac:dyDescent="0.25">
      <c r="A38" s="10">
        <v>24</v>
      </c>
      <c r="B38" s="11" t="s">
        <v>65</v>
      </c>
      <c r="C38" s="12">
        <v>0</v>
      </c>
      <c r="D38" s="12">
        <v>0</v>
      </c>
      <c r="E38" s="13">
        <v>232.61500000000001</v>
      </c>
      <c r="F38" s="13">
        <v>182.31899999999999</v>
      </c>
      <c r="G38" s="12">
        <v>0</v>
      </c>
      <c r="H38" s="12">
        <v>0</v>
      </c>
      <c r="I38" s="13">
        <v>156.66900000000001</v>
      </c>
      <c r="J38" s="13">
        <v>170.238</v>
      </c>
      <c r="K38" s="12">
        <v>0</v>
      </c>
      <c r="L38" s="12">
        <v>0</v>
      </c>
      <c r="M38" s="13">
        <v>248.16300000000001</v>
      </c>
      <c r="N38" s="13">
        <v>252.137</v>
      </c>
    </row>
    <row r="39" spans="1:14" s="8" customFormat="1" ht="27.95" customHeight="1" x14ac:dyDescent="0.25">
      <c r="A39" s="10">
        <v>25</v>
      </c>
      <c r="B39" s="11" t="s">
        <v>10</v>
      </c>
      <c r="C39" s="12">
        <v>2879</v>
      </c>
      <c r="D39" s="12">
        <v>2767</v>
      </c>
      <c r="E39" s="13">
        <v>0.28999999999999998</v>
      </c>
      <c r="F39" s="13">
        <v>6.5129999999999999</v>
      </c>
      <c r="G39" s="12">
        <v>2652</v>
      </c>
      <c r="H39" s="12">
        <v>2570</v>
      </c>
      <c r="I39" s="13">
        <v>0.30099999999999999</v>
      </c>
      <c r="J39" s="13">
        <v>5.6950000000000003</v>
      </c>
      <c r="K39" s="12">
        <v>2850</v>
      </c>
      <c r="L39" s="12">
        <v>2466</v>
      </c>
      <c r="M39" s="13">
        <v>0.44700000000000001</v>
      </c>
      <c r="N39" s="13">
        <v>8.0192999999999994</v>
      </c>
    </row>
    <row r="40" spans="1:14" s="8" customFormat="1" ht="27.95" customHeight="1" x14ac:dyDescent="0.25">
      <c r="A40" s="10">
        <v>26</v>
      </c>
      <c r="B40" s="17" t="s">
        <v>59</v>
      </c>
      <c r="C40" s="12">
        <v>2148</v>
      </c>
      <c r="D40" s="12">
        <v>2174</v>
      </c>
      <c r="E40" s="13">
        <v>25.08</v>
      </c>
      <c r="F40" s="13">
        <v>50.082999999999998</v>
      </c>
      <c r="G40" s="16">
        <v>4507</v>
      </c>
      <c r="H40" s="16">
        <v>4214</v>
      </c>
      <c r="I40" s="13">
        <v>124.247</v>
      </c>
      <c r="J40" s="13">
        <v>158.04</v>
      </c>
      <c r="K40" s="12">
        <v>5573</v>
      </c>
      <c r="L40" s="12">
        <v>5363</v>
      </c>
      <c r="M40" s="13">
        <v>125.32599999999999</v>
      </c>
      <c r="N40" s="13">
        <v>179.833</v>
      </c>
    </row>
    <row r="41" spans="1:14" s="8" customFormat="1" ht="27.95" customHeight="1" x14ac:dyDescent="0.25">
      <c r="A41" s="10">
        <v>27</v>
      </c>
      <c r="B41" s="14" t="s">
        <v>38</v>
      </c>
      <c r="C41" s="12">
        <v>226003</v>
      </c>
      <c r="D41" s="12">
        <v>217913</v>
      </c>
      <c r="E41" s="13">
        <v>5210.9585639999996</v>
      </c>
      <c r="F41" s="13">
        <v>9594.1963079999987</v>
      </c>
      <c r="G41" s="12">
        <v>241755</v>
      </c>
      <c r="H41" s="12">
        <v>210318</v>
      </c>
      <c r="I41" s="13">
        <v>4720.9733469999992</v>
      </c>
      <c r="J41" s="13">
        <v>8959.5242449999987</v>
      </c>
      <c r="K41" s="12">
        <v>252443</v>
      </c>
      <c r="L41" s="12">
        <v>236040</v>
      </c>
      <c r="M41" s="13">
        <v>5279.7405099999996</v>
      </c>
      <c r="N41" s="13">
        <v>8071.9289920000001</v>
      </c>
    </row>
    <row r="42" spans="1:14" s="8" customFormat="1" ht="27.95" customHeight="1" x14ac:dyDescent="0.25">
      <c r="A42" s="10">
        <v>28</v>
      </c>
      <c r="B42" s="11" t="s">
        <v>39</v>
      </c>
      <c r="C42" s="12">
        <v>15842</v>
      </c>
      <c r="D42" s="12">
        <v>14859</v>
      </c>
      <c r="E42" s="13">
        <v>321.791</v>
      </c>
      <c r="F42" s="13">
        <v>888.66099999999994</v>
      </c>
      <c r="G42" s="12">
        <v>5661</v>
      </c>
      <c r="H42" s="12">
        <v>9655</v>
      </c>
      <c r="I42" s="13">
        <v>23.405999999999999</v>
      </c>
      <c r="J42" s="13">
        <v>346.77</v>
      </c>
      <c r="K42" s="12">
        <v>11661</v>
      </c>
      <c r="L42" s="12">
        <v>9603</v>
      </c>
      <c r="M42" s="13">
        <v>15.3</v>
      </c>
      <c r="N42" s="13">
        <v>201.006</v>
      </c>
    </row>
    <row r="43" spans="1:14" s="8" customFormat="1" ht="27.95" customHeight="1" x14ac:dyDescent="0.25">
      <c r="A43" s="10">
        <v>29</v>
      </c>
      <c r="B43" s="11" t="s">
        <v>97</v>
      </c>
      <c r="C43" s="12">
        <v>60522</v>
      </c>
      <c r="D43" s="12">
        <v>56054</v>
      </c>
      <c r="E43" s="13">
        <v>1165.9498999999998</v>
      </c>
      <c r="F43" s="13">
        <v>2202.7249999999999</v>
      </c>
      <c r="G43" s="12">
        <v>61736</v>
      </c>
      <c r="H43" s="12">
        <v>52983</v>
      </c>
      <c r="I43" s="13">
        <v>972.92019999999991</v>
      </c>
      <c r="J43" s="13">
        <v>2033.5374999999999</v>
      </c>
      <c r="K43" s="12">
        <v>62662</v>
      </c>
      <c r="L43" s="12">
        <v>59914</v>
      </c>
      <c r="M43" s="13">
        <v>991.16499999999996</v>
      </c>
      <c r="N43" s="13">
        <v>2143.3670000000002</v>
      </c>
    </row>
    <row r="44" spans="1:14" s="8" customFormat="1" ht="27.95" customHeight="1" x14ac:dyDescent="0.25">
      <c r="A44" s="10">
        <v>30</v>
      </c>
      <c r="B44" s="11" t="s">
        <v>11</v>
      </c>
      <c r="C44" s="12">
        <v>0</v>
      </c>
      <c r="D44" s="12">
        <v>0</v>
      </c>
      <c r="E44" s="13">
        <v>1205.527</v>
      </c>
      <c r="F44" s="13">
        <v>2962.3209999999999</v>
      </c>
      <c r="G44" s="12">
        <v>0</v>
      </c>
      <c r="H44" s="12">
        <v>0</v>
      </c>
      <c r="I44" s="13">
        <v>1308.087</v>
      </c>
      <c r="J44" s="13">
        <v>2860.0770000000002</v>
      </c>
      <c r="K44" s="12">
        <v>0</v>
      </c>
      <c r="L44" s="12">
        <v>0</v>
      </c>
      <c r="M44" s="15">
        <v>1324.347</v>
      </c>
      <c r="N44" s="15">
        <v>2679.4920000000002</v>
      </c>
    </row>
    <row r="45" spans="1:14" s="8" customFormat="1" ht="27.95" customHeight="1" x14ac:dyDescent="0.25">
      <c r="A45" s="10">
        <v>31</v>
      </c>
      <c r="B45" s="11" t="s">
        <v>66</v>
      </c>
      <c r="C45" s="12">
        <v>8022</v>
      </c>
      <c r="D45" s="12">
        <v>5254</v>
      </c>
      <c r="E45" s="13">
        <v>326.947</v>
      </c>
      <c r="F45" s="13">
        <v>339.81400000000002</v>
      </c>
      <c r="G45" s="12"/>
      <c r="H45" s="12"/>
      <c r="I45" s="13">
        <v>0</v>
      </c>
      <c r="J45" s="13">
        <v>0</v>
      </c>
      <c r="K45" s="12"/>
      <c r="L45" s="12"/>
      <c r="M45" s="15">
        <v>0</v>
      </c>
      <c r="N45" s="15">
        <v>0</v>
      </c>
    </row>
    <row r="46" spans="1:14" s="8" customFormat="1" ht="27.95" customHeight="1" x14ac:dyDescent="0.25">
      <c r="A46" s="10">
        <v>32</v>
      </c>
      <c r="B46" s="11" t="s">
        <v>53</v>
      </c>
      <c r="C46" s="12">
        <v>21987</v>
      </c>
      <c r="D46" s="12">
        <v>20793</v>
      </c>
      <c r="E46" s="13">
        <v>23.321000000000002</v>
      </c>
      <c r="F46" s="13">
        <v>191.43100000000001</v>
      </c>
      <c r="G46" s="12">
        <v>21487</v>
      </c>
      <c r="H46" s="12">
        <v>19148</v>
      </c>
      <c r="I46" s="13">
        <v>10.948</v>
      </c>
      <c r="J46" s="13">
        <v>180.47</v>
      </c>
      <c r="K46" s="12">
        <v>21584</v>
      </c>
      <c r="L46" s="12">
        <v>21729</v>
      </c>
      <c r="M46" s="15">
        <v>20.753</v>
      </c>
      <c r="N46" s="15">
        <v>173.62299999999999</v>
      </c>
    </row>
    <row r="47" spans="1:14" s="8" customFormat="1" ht="27.95" customHeight="1" x14ac:dyDescent="0.25">
      <c r="A47" s="10">
        <v>33</v>
      </c>
      <c r="B47" s="11" t="s">
        <v>67</v>
      </c>
      <c r="C47" s="12">
        <v>8855</v>
      </c>
      <c r="D47" s="12">
        <v>10549</v>
      </c>
      <c r="E47" s="13">
        <v>35.045999999999999</v>
      </c>
      <c r="F47" s="13">
        <v>93.953000000000003</v>
      </c>
      <c r="G47" s="12">
        <v>11718</v>
      </c>
      <c r="H47" s="12">
        <v>11612</v>
      </c>
      <c r="I47" s="13">
        <v>48.941000000000003</v>
      </c>
      <c r="J47" s="13">
        <v>125.729</v>
      </c>
      <c r="K47" s="12">
        <v>17149</v>
      </c>
      <c r="L47" s="12">
        <v>18389</v>
      </c>
      <c r="M47" s="15">
        <v>35.744</v>
      </c>
      <c r="N47" s="15">
        <v>125.417</v>
      </c>
    </row>
    <row r="48" spans="1:14" s="8" customFormat="1" ht="27.95" customHeight="1" x14ac:dyDescent="0.25">
      <c r="A48" s="10">
        <v>34</v>
      </c>
      <c r="B48" s="11" t="s">
        <v>40</v>
      </c>
      <c r="C48" s="12">
        <v>43409</v>
      </c>
      <c r="D48" s="12">
        <v>45659</v>
      </c>
      <c r="E48" s="13">
        <v>17.047999999999998</v>
      </c>
      <c r="F48" s="13">
        <v>456.44600000000003</v>
      </c>
      <c r="G48" s="12">
        <v>43724</v>
      </c>
      <c r="H48" s="12">
        <v>41408</v>
      </c>
      <c r="I48" s="13">
        <v>31.617999999999999</v>
      </c>
      <c r="J48" s="13">
        <v>493.50099999999998</v>
      </c>
      <c r="K48" s="12">
        <v>48922</v>
      </c>
      <c r="L48" s="12">
        <v>45848</v>
      </c>
      <c r="M48" s="15">
        <v>38.378999999999998</v>
      </c>
      <c r="N48" s="15">
        <v>448.30700000000002</v>
      </c>
    </row>
    <row r="49" spans="1:14" s="8" customFormat="1" ht="27.95" customHeight="1" x14ac:dyDescent="0.25">
      <c r="A49" s="10">
        <v>35</v>
      </c>
      <c r="B49" s="11" t="s">
        <v>12</v>
      </c>
      <c r="C49" s="12">
        <v>414</v>
      </c>
      <c r="D49" s="12">
        <v>443</v>
      </c>
      <c r="E49" s="13">
        <v>11.11</v>
      </c>
      <c r="F49" s="13">
        <v>10</v>
      </c>
      <c r="G49" s="12">
        <v>395</v>
      </c>
      <c r="H49" s="12">
        <v>118</v>
      </c>
      <c r="I49" s="13">
        <v>0.52500000000000002</v>
      </c>
      <c r="J49" s="13">
        <v>6.2670000000000003</v>
      </c>
      <c r="K49" s="12">
        <v>466</v>
      </c>
      <c r="L49" s="12">
        <v>415</v>
      </c>
      <c r="M49" s="15">
        <v>4.9489999999999998</v>
      </c>
      <c r="N49" s="15">
        <v>9.4939999999999998</v>
      </c>
    </row>
    <row r="50" spans="1:14" s="8" customFormat="1" ht="27.95" customHeight="1" x14ac:dyDescent="0.25">
      <c r="A50" s="10">
        <v>36</v>
      </c>
      <c r="B50" s="11" t="s">
        <v>13</v>
      </c>
      <c r="C50" s="12">
        <v>2371</v>
      </c>
      <c r="D50" s="12">
        <v>2376</v>
      </c>
      <c r="E50" s="13">
        <v>0.12</v>
      </c>
      <c r="F50" s="13">
        <v>2</v>
      </c>
      <c r="G50" s="12">
        <v>2232</v>
      </c>
      <c r="H50" s="12">
        <v>2285</v>
      </c>
      <c r="I50" s="13">
        <v>0</v>
      </c>
      <c r="J50" s="13">
        <v>2.468</v>
      </c>
      <c r="K50" s="12">
        <v>2055</v>
      </c>
      <c r="L50" s="12">
        <v>2168</v>
      </c>
      <c r="M50" s="15">
        <v>0</v>
      </c>
      <c r="N50" s="15">
        <v>1.4</v>
      </c>
    </row>
    <row r="51" spans="1:14" s="8" customFormat="1" ht="27.95" customHeight="1" x14ac:dyDescent="0.25">
      <c r="A51" s="10">
        <v>37</v>
      </c>
      <c r="B51" s="11" t="s">
        <v>14</v>
      </c>
      <c r="C51" s="12">
        <v>3498</v>
      </c>
      <c r="D51" s="12">
        <v>3715</v>
      </c>
      <c r="E51" s="13">
        <v>0.58199999999999996</v>
      </c>
      <c r="F51" s="13">
        <v>93.301000000000002</v>
      </c>
      <c r="G51" s="12">
        <v>2568</v>
      </c>
      <c r="H51" s="12">
        <v>2673</v>
      </c>
      <c r="I51" s="13">
        <v>0.55800000000000005</v>
      </c>
      <c r="J51" s="13">
        <v>74.834000000000003</v>
      </c>
      <c r="K51" s="12">
        <v>4655</v>
      </c>
      <c r="L51" s="12">
        <v>3375</v>
      </c>
      <c r="M51" s="15">
        <v>0.70799999999999996</v>
      </c>
      <c r="N51" s="15">
        <v>82.090999999999994</v>
      </c>
    </row>
    <row r="52" spans="1:14" s="8" customFormat="1" ht="27.95" customHeight="1" x14ac:dyDescent="0.25">
      <c r="A52" s="10">
        <v>38</v>
      </c>
      <c r="B52" s="11" t="s">
        <v>15</v>
      </c>
      <c r="C52" s="12">
        <v>1774</v>
      </c>
      <c r="D52" s="12">
        <v>2182</v>
      </c>
      <c r="E52" s="13">
        <v>362.17899999999997</v>
      </c>
      <c r="F52" s="13">
        <v>315.12099999999998</v>
      </c>
      <c r="G52" s="12">
        <v>2689</v>
      </c>
      <c r="H52" s="12">
        <v>3389</v>
      </c>
      <c r="I52" s="13">
        <v>381.505</v>
      </c>
      <c r="J52" s="13">
        <v>185.03700000000001</v>
      </c>
      <c r="K52" s="12">
        <v>3398</v>
      </c>
      <c r="L52" s="12">
        <v>5079</v>
      </c>
      <c r="M52" s="15">
        <v>428.73500000000001</v>
      </c>
      <c r="N52" s="15">
        <v>177.05199999999999</v>
      </c>
    </row>
    <row r="53" spans="1:14" s="8" customFormat="1" ht="27.95" customHeight="1" x14ac:dyDescent="0.25">
      <c r="A53" s="10">
        <v>39</v>
      </c>
      <c r="B53" s="11" t="s">
        <v>58</v>
      </c>
      <c r="C53" s="12">
        <v>16001</v>
      </c>
      <c r="D53" s="12">
        <v>17868</v>
      </c>
      <c r="E53" s="13">
        <v>19.899999999999999</v>
      </c>
      <c r="F53" s="13">
        <v>252.86</v>
      </c>
      <c r="G53" s="12">
        <v>15931</v>
      </c>
      <c r="H53" s="12">
        <v>16397</v>
      </c>
      <c r="I53" s="13">
        <v>20.61</v>
      </c>
      <c r="J53" s="13">
        <v>262.863</v>
      </c>
      <c r="K53" s="12">
        <v>19386</v>
      </c>
      <c r="L53" s="12">
        <v>19042</v>
      </c>
      <c r="M53" s="15">
        <v>23.448</v>
      </c>
      <c r="N53" s="15">
        <v>229.8655</v>
      </c>
    </row>
    <row r="54" spans="1:14" s="8" customFormat="1" ht="27.95" customHeight="1" x14ac:dyDescent="0.25">
      <c r="A54" s="10">
        <v>40</v>
      </c>
      <c r="B54" s="11" t="s">
        <v>16</v>
      </c>
      <c r="C54" s="12">
        <v>4878</v>
      </c>
      <c r="D54" s="12">
        <v>4244</v>
      </c>
      <c r="E54" s="13">
        <v>0.98199999999999998</v>
      </c>
      <c r="F54" s="13">
        <v>23.021999999999998</v>
      </c>
      <c r="G54" s="12">
        <v>4703</v>
      </c>
      <c r="H54" s="12">
        <v>3782</v>
      </c>
      <c r="I54" s="13">
        <v>1.7889999999999999</v>
      </c>
      <c r="J54" s="13">
        <v>26.803000000000001</v>
      </c>
      <c r="K54" s="12">
        <v>5885</v>
      </c>
      <c r="L54" s="12">
        <v>5177</v>
      </c>
      <c r="M54" s="15">
        <v>0.36599999999999999</v>
      </c>
      <c r="N54" s="15">
        <v>25.295000000000002</v>
      </c>
    </row>
    <row r="55" spans="1:14" s="8" customFormat="1" ht="27.95" customHeight="1" x14ac:dyDescent="0.25">
      <c r="A55" s="10">
        <v>41</v>
      </c>
      <c r="B55" s="11" t="s">
        <v>45</v>
      </c>
      <c r="C55" s="12">
        <v>24473</v>
      </c>
      <c r="D55" s="12">
        <v>23409</v>
      </c>
      <c r="E55" s="13">
        <v>1030.077</v>
      </c>
      <c r="F55" s="13">
        <v>1183.6679999999999</v>
      </c>
      <c r="G55" s="12">
        <v>24841</v>
      </c>
      <c r="H55" s="12">
        <v>24841</v>
      </c>
      <c r="I55" s="13">
        <v>1097.4269999999999</v>
      </c>
      <c r="J55" s="13">
        <v>1200.1500000000001</v>
      </c>
      <c r="K55" s="12">
        <v>25268</v>
      </c>
      <c r="L55" s="12">
        <v>24725</v>
      </c>
      <c r="M55" s="13">
        <v>884.63</v>
      </c>
      <c r="N55" s="13">
        <v>1032.498</v>
      </c>
    </row>
    <row r="56" spans="1:14" s="8" customFormat="1" ht="27.95" customHeight="1" x14ac:dyDescent="0.25">
      <c r="A56" s="10">
        <v>42</v>
      </c>
      <c r="B56" s="11" t="s">
        <v>17</v>
      </c>
      <c r="C56" s="12">
        <v>1219</v>
      </c>
      <c r="D56" s="12">
        <v>1613</v>
      </c>
      <c r="E56" s="13">
        <v>360.11200000000002</v>
      </c>
      <c r="F56" s="13">
        <v>404.161</v>
      </c>
      <c r="G56" s="12">
        <v>2194</v>
      </c>
      <c r="H56" s="12">
        <v>2987</v>
      </c>
      <c r="I56" s="13">
        <v>235.03700000000001</v>
      </c>
      <c r="J56" s="13">
        <v>352.084</v>
      </c>
      <c r="K56" s="12">
        <v>1145</v>
      </c>
      <c r="L56" s="12">
        <v>1647</v>
      </c>
      <c r="M56" s="13">
        <v>479.45229999999998</v>
      </c>
      <c r="N56" s="13">
        <v>537.38553000000002</v>
      </c>
    </row>
    <row r="57" spans="1:14" s="8" customFormat="1" ht="27.95" customHeight="1" x14ac:dyDescent="0.25">
      <c r="A57" s="10">
        <v>43</v>
      </c>
      <c r="B57" s="11" t="s">
        <v>50</v>
      </c>
      <c r="C57" s="12">
        <v>23112</v>
      </c>
      <c r="D57" s="12">
        <v>23138</v>
      </c>
      <c r="E57" s="13">
        <v>0</v>
      </c>
      <c r="F57" s="13">
        <v>775.33299999999997</v>
      </c>
      <c r="G57" s="12">
        <v>20621</v>
      </c>
      <c r="H57" s="12">
        <v>19635</v>
      </c>
      <c r="I57" s="13">
        <v>0</v>
      </c>
      <c r="J57" s="13">
        <v>451.57799999999997</v>
      </c>
      <c r="K57" s="12">
        <v>25292</v>
      </c>
      <c r="L57" s="12">
        <v>22636</v>
      </c>
      <c r="M57" s="13">
        <v>0</v>
      </c>
      <c r="N57" s="13">
        <v>446.16399999999999</v>
      </c>
    </row>
    <row r="58" spans="1:14" s="8" customFormat="1" ht="27.95" customHeight="1" x14ac:dyDescent="0.25">
      <c r="A58" s="10">
        <v>44</v>
      </c>
      <c r="B58" s="11" t="s">
        <v>51</v>
      </c>
      <c r="C58" s="12">
        <v>5521</v>
      </c>
      <c r="D58" s="12">
        <v>4215</v>
      </c>
      <c r="E58" s="13">
        <v>155.80099999999999</v>
      </c>
      <c r="F58" s="13">
        <v>299.73899999999998</v>
      </c>
      <c r="G58" s="12">
        <v>5704</v>
      </c>
      <c r="H58" s="12">
        <v>4769</v>
      </c>
      <c r="I58" s="13">
        <v>159.267</v>
      </c>
      <c r="J58" s="13">
        <v>250.042</v>
      </c>
      <c r="K58" s="12">
        <v>5576</v>
      </c>
      <c r="L58" s="12">
        <v>5328</v>
      </c>
      <c r="M58" s="13">
        <v>158</v>
      </c>
      <c r="N58" s="13">
        <v>209.041</v>
      </c>
    </row>
    <row r="59" spans="1:14" s="8" customFormat="1" ht="27.95" customHeight="1" x14ac:dyDescent="0.25">
      <c r="A59" s="10">
        <v>45</v>
      </c>
      <c r="B59" s="11" t="s">
        <v>18</v>
      </c>
      <c r="C59" s="12">
        <v>36984</v>
      </c>
      <c r="D59" s="12">
        <v>38804</v>
      </c>
      <c r="E59" s="13">
        <v>2318.4659999999999</v>
      </c>
      <c r="F59" s="13">
        <v>1385.4580000000001</v>
      </c>
      <c r="G59" s="12">
        <v>36984</v>
      </c>
      <c r="H59" s="12">
        <v>38804</v>
      </c>
      <c r="I59" s="13">
        <v>2319.989</v>
      </c>
      <c r="J59" s="13">
        <v>1383.9349999999999</v>
      </c>
      <c r="K59" s="12">
        <v>45717</v>
      </c>
      <c r="L59" s="12">
        <v>42367</v>
      </c>
      <c r="M59" s="13">
        <v>2291.2399999999998</v>
      </c>
      <c r="N59" s="13">
        <v>1365.6210000000001</v>
      </c>
    </row>
    <row r="60" spans="1:14" s="8" customFormat="1" ht="27.95" customHeight="1" x14ac:dyDescent="0.25">
      <c r="A60" s="10">
        <v>46</v>
      </c>
      <c r="B60" s="11" t="s">
        <v>19</v>
      </c>
      <c r="C60" s="12">
        <v>1157</v>
      </c>
      <c r="D60" s="12">
        <v>957</v>
      </c>
      <c r="E60" s="13">
        <v>3.2591999999999999</v>
      </c>
      <c r="F60" s="13">
        <v>67.608940000000004</v>
      </c>
      <c r="G60" s="12">
        <v>1115</v>
      </c>
      <c r="H60" s="12">
        <v>857</v>
      </c>
      <c r="I60" s="13">
        <v>5.6609999999999996</v>
      </c>
      <c r="J60" s="13">
        <v>42.572099999999999</v>
      </c>
      <c r="K60" s="12">
        <v>1216</v>
      </c>
      <c r="L60" s="12">
        <v>1375</v>
      </c>
      <c r="M60" s="13">
        <v>7.2771999999999997</v>
      </c>
      <c r="N60" s="13">
        <v>48.476999999999997</v>
      </c>
    </row>
    <row r="61" spans="1:14" s="8" customFormat="1" ht="27.95" customHeight="1" x14ac:dyDescent="0.25">
      <c r="A61" s="10">
        <v>47</v>
      </c>
      <c r="B61" s="11" t="s">
        <v>20</v>
      </c>
      <c r="C61" s="12">
        <v>23059</v>
      </c>
      <c r="D61" s="12">
        <v>24990</v>
      </c>
      <c r="E61" s="13">
        <v>773.59</v>
      </c>
      <c r="F61" s="13">
        <v>889.19</v>
      </c>
      <c r="G61" s="12">
        <v>33621</v>
      </c>
      <c r="H61" s="12">
        <v>31533</v>
      </c>
      <c r="I61" s="13">
        <v>932.45299999999997</v>
      </c>
      <c r="J61" s="13">
        <v>890.87599999999998</v>
      </c>
      <c r="K61" s="12">
        <v>41910</v>
      </c>
      <c r="L61" s="12">
        <v>36999</v>
      </c>
      <c r="M61" s="13">
        <v>1334.4459999999999</v>
      </c>
      <c r="N61" s="13">
        <v>1252.741</v>
      </c>
    </row>
    <row r="62" spans="1:14" s="8" customFormat="1" ht="27.95" customHeight="1" x14ac:dyDescent="0.25">
      <c r="A62" s="10">
        <v>48</v>
      </c>
      <c r="B62" s="11" t="s">
        <v>52</v>
      </c>
      <c r="C62" s="12">
        <v>16646</v>
      </c>
      <c r="D62" s="12">
        <v>15589</v>
      </c>
      <c r="E62" s="13">
        <v>0.191</v>
      </c>
      <c r="F62" s="13">
        <v>63.164999999999999</v>
      </c>
      <c r="G62" s="12">
        <v>18555</v>
      </c>
      <c r="H62" s="12">
        <v>15755</v>
      </c>
      <c r="I62" s="13">
        <v>0.17199999999999999</v>
      </c>
      <c r="J62" s="13">
        <v>36.344999999999999</v>
      </c>
      <c r="K62" s="12">
        <v>23249</v>
      </c>
      <c r="L62" s="12">
        <v>20600</v>
      </c>
      <c r="M62" s="13">
        <v>9.0999999999999998E-2</v>
      </c>
      <c r="N62" s="13">
        <v>68.126999999999995</v>
      </c>
    </row>
    <row r="63" spans="1:14" s="8" customFormat="1" ht="27.95" customHeight="1" x14ac:dyDescent="0.25">
      <c r="A63" s="10">
        <v>49</v>
      </c>
      <c r="B63" s="11" t="s">
        <v>54</v>
      </c>
      <c r="C63" s="12">
        <v>435</v>
      </c>
      <c r="D63" s="12">
        <v>390</v>
      </c>
      <c r="E63" s="13">
        <v>8.3309999999999995</v>
      </c>
      <c r="F63" s="13">
        <v>3.8210000000000002</v>
      </c>
      <c r="G63" s="12">
        <v>817</v>
      </c>
      <c r="H63" s="12">
        <v>353</v>
      </c>
      <c r="I63" s="13">
        <v>0</v>
      </c>
      <c r="J63" s="13">
        <v>0</v>
      </c>
      <c r="K63" s="12">
        <v>566</v>
      </c>
      <c r="L63" s="12">
        <v>797</v>
      </c>
      <c r="M63" s="13">
        <v>0</v>
      </c>
      <c r="N63" s="13">
        <v>0</v>
      </c>
    </row>
    <row r="64" spans="1:14" s="8" customFormat="1" ht="27.95" customHeight="1" x14ac:dyDescent="0.25">
      <c r="A64" s="10">
        <v>50</v>
      </c>
      <c r="B64" s="11" t="s">
        <v>55</v>
      </c>
      <c r="C64" s="12">
        <v>11583</v>
      </c>
      <c r="D64" s="12">
        <v>11887</v>
      </c>
      <c r="E64" s="13">
        <v>50.747999999999998</v>
      </c>
      <c r="F64" s="13">
        <v>5.1790000000000003</v>
      </c>
      <c r="G64" s="12">
        <v>10988</v>
      </c>
      <c r="H64" s="12">
        <v>7177</v>
      </c>
      <c r="I64" s="13">
        <v>81.757999999999996</v>
      </c>
      <c r="J64" s="13">
        <v>19.178000000000001</v>
      </c>
      <c r="K64" s="12">
        <v>9010</v>
      </c>
      <c r="L64" s="12">
        <v>7292</v>
      </c>
      <c r="M64" s="13">
        <v>47.398000000000003</v>
      </c>
      <c r="N64" s="13">
        <v>21.748000000000001</v>
      </c>
    </row>
    <row r="65" spans="1:14" s="8" customFormat="1" ht="27.95" customHeight="1" x14ac:dyDescent="0.25">
      <c r="A65" s="10">
        <v>51</v>
      </c>
      <c r="B65" s="11" t="s">
        <v>76</v>
      </c>
      <c r="C65" s="12">
        <v>1770</v>
      </c>
      <c r="D65" s="12">
        <v>2138</v>
      </c>
      <c r="E65" s="13">
        <v>0</v>
      </c>
      <c r="F65" s="13">
        <v>0</v>
      </c>
      <c r="G65" s="12">
        <v>1866</v>
      </c>
      <c r="H65" s="12">
        <v>2072</v>
      </c>
      <c r="I65" s="13">
        <v>0</v>
      </c>
      <c r="J65" s="13">
        <v>0</v>
      </c>
      <c r="K65" s="12">
        <v>1989</v>
      </c>
      <c r="L65" s="12">
        <v>2095</v>
      </c>
      <c r="M65" s="13">
        <v>0</v>
      </c>
      <c r="N65" s="13">
        <v>0</v>
      </c>
    </row>
    <row r="66" spans="1:14" s="8" customFormat="1" ht="27.95" customHeight="1" x14ac:dyDescent="0.25">
      <c r="A66" s="10">
        <v>52</v>
      </c>
      <c r="B66" s="11" t="s">
        <v>21</v>
      </c>
      <c r="C66" s="12">
        <v>25706</v>
      </c>
      <c r="D66" s="12">
        <v>29136</v>
      </c>
      <c r="E66" s="13">
        <v>319.16530000000006</v>
      </c>
      <c r="F66" s="13">
        <v>1351.9033599999998</v>
      </c>
      <c r="G66" s="12">
        <v>35135</v>
      </c>
      <c r="H66" s="12">
        <v>36942</v>
      </c>
      <c r="I66" s="13">
        <v>363.2987</v>
      </c>
      <c r="J66" s="13">
        <v>937.07907999999998</v>
      </c>
      <c r="K66" s="12">
        <v>42723</v>
      </c>
      <c r="L66" s="12">
        <v>43114</v>
      </c>
      <c r="M66" s="13">
        <v>268.90228000000002</v>
      </c>
      <c r="N66" s="13">
        <v>642.84838999999999</v>
      </c>
    </row>
    <row r="67" spans="1:14" s="8" customFormat="1" ht="27.95" customHeight="1" x14ac:dyDescent="0.25">
      <c r="A67" s="10">
        <v>53</v>
      </c>
      <c r="B67" s="11" t="s">
        <v>77</v>
      </c>
      <c r="C67" s="12">
        <v>3662</v>
      </c>
      <c r="D67" s="12">
        <v>3923</v>
      </c>
      <c r="E67" s="13">
        <v>2.7189999999999999</v>
      </c>
      <c r="F67" s="13">
        <v>52.46</v>
      </c>
      <c r="G67" s="12">
        <v>3647</v>
      </c>
      <c r="H67" s="12">
        <v>3440</v>
      </c>
      <c r="I67" s="13">
        <v>0.67200000000000004</v>
      </c>
      <c r="J67" s="13">
        <v>36.505000000000003</v>
      </c>
      <c r="K67" s="12">
        <v>4133</v>
      </c>
      <c r="L67" s="12">
        <v>3606</v>
      </c>
      <c r="M67" s="13">
        <v>4.9744999999999999</v>
      </c>
      <c r="N67" s="13">
        <v>24.323</v>
      </c>
    </row>
    <row r="68" spans="1:14" s="8" customFormat="1" ht="27.95" customHeight="1" x14ac:dyDescent="0.25">
      <c r="A68" s="10">
        <v>54</v>
      </c>
      <c r="B68" s="11" t="s">
        <v>22</v>
      </c>
      <c r="C68" s="12">
        <v>88616</v>
      </c>
      <c r="D68" s="12">
        <v>78270</v>
      </c>
      <c r="E68" s="13">
        <v>5113.8879999999999</v>
      </c>
      <c r="F68" s="13">
        <v>7025.1769999999997</v>
      </c>
      <c r="G68" s="12">
        <v>81080</v>
      </c>
      <c r="H68" s="12">
        <v>66958</v>
      </c>
      <c r="I68" s="13">
        <v>5432.848</v>
      </c>
      <c r="J68" s="13">
        <v>7683.47</v>
      </c>
      <c r="K68" s="12">
        <v>87415</v>
      </c>
      <c r="L68" s="12">
        <v>71918</v>
      </c>
      <c r="M68" s="13">
        <v>6559.5349999999999</v>
      </c>
      <c r="N68" s="13">
        <v>7813.4930000000004</v>
      </c>
    </row>
    <row r="69" spans="1:14" s="8" customFormat="1" ht="27.95" customHeight="1" x14ac:dyDescent="0.25">
      <c r="A69" s="10">
        <v>55</v>
      </c>
      <c r="B69" s="11" t="s">
        <v>56</v>
      </c>
      <c r="C69" s="12">
        <v>1210</v>
      </c>
      <c r="D69" s="12">
        <v>813</v>
      </c>
      <c r="E69" s="13">
        <v>0</v>
      </c>
      <c r="F69" s="13">
        <v>0</v>
      </c>
      <c r="G69" s="12">
        <v>956</v>
      </c>
      <c r="H69" s="12">
        <v>859</v>
      </c>
      <c r="I69" s="13">
        <v>0</v>
      </c>
      <c r="J69" s="13">
        <v>0</v>
      </c>
      <c r="K69" s="12">
        <v>925</v>
      </c>
      <c r="L69" s="12">
        <v>541</v>
      </c>
      <c r="M69" s="13">
        <v>0</v>
      </c>
      <c r="N69" s="13">
        <v>0</v>
      </c>
    </row>
    <row r="70" spans="1:14" s="8" customFormat="1" ht="27.95" customHeight="1" x14ac:dyDescent="0.25">
      <c r="A70" s="10">
        <v>56</v>
      </c>
      <c r="B70" s="11" t="s">
        <v>78</v>
      </c>
      <c r="C70" s="12">
        <v>19473</v>
      </c>
      <c r="D70" s="12">
        <v>15547</v>
      </c>
      <c r="E70" s="13">
        <v>0</v>
      </c>
      <c r="F70" s="13">
        <v>100.765</v>
      </c>
      <c r="G70" s="12">
        <v>18897</v>
      </c>
      <c r="H70" s="12">
        <v>13890</v>
      </c>
      <c r="I70" s="13">
        <v>0</v>
      </c>
      <c r="J70" s="13">
        <v>0</v>
      </c>
      <c r="K70" s="12">
        <v>19510</v>
      </c>
      <c r="L70" s="12">
        <v>18620</v>
      </c>
      <c r="M70" s="13">
        <v>0</v>
      </c>
      <c r="N70" s="13">
        <v>0</v>
      </c>
    </row>
    <row r="71" spans="1:14" s="8" customFormat="1" ht="27.95" customHeight="1" x14ac:dyDescent="0.25">
      <c r="A71" s="10">
        <v>57</v>
      </c>
      <c r="B71" s="11" t="s">
        <v>79</v>
      </c>
      <c r="C71" s="12">
        <v>52598</v>
      </c>
      <c r="D71" s="12">
        <v>50728</v>
      </c>
      <c r="E71" s="13">
        <v>285.77800000000002</v>
      </c>
      <c r="F71" s="13">
        <v>1236.626</v>
      </c>
      <c r="G71" s="12">
        <v>45919</v>
      </c>
      <c r="H71" s="12">
        <v>42482</v>
      </c>
      <c r="I71" s="13">
        <v>176.40600000000001</v>
      </c>
      <c r="J71" s="13">
        <v>1303.886</v>
      </c>
      <c r="K71" s="12">
        <v>53706</v>
      </c>
      <c r="L71" s="12">
        <v>51814</v>
      </c>
      <c r="M71" s="13">
        <v>205.37799999999999</v>
      </c>
      <c r="N71" s="13">
        <v>1176.8610000000001</v>
      </c>
    </row>
    <row r="72" spans="1:14" s="8" customFormat="1" ht="27.95" customHeight="1" x14ac:dyDescent="0.25">
      <c r="A72" s="10">
        <v>58</v>
      </c>
      <c r="B72" s="11" t="s">
        <v>98</v>
      </c>
      <c r="C72" s="12">
        <v>185</v>
      </c>
      <c r="D72" s="12">
        <v>1</v>
      </c>
      <c r="E72" s="13">
        <v>0</v>
      </c>
      <c r="F72" s="13">
        <v>0</v>
      </c>
      <c r="G72" s="12">
        <v>907</v>
      </c>
      <c r="H72" s="12">
        <v>668</v>
      </c>
      <c r="I72" s="13">
        <v>0</v>
      </c>
      <c r="J72" s="13">
        <v>0</v>
      </c>
      <c r="K72" s="12">
        <v>1296</v>
      </c>
      <c r="L72" s="12">
        <v>752</v>
      </c>
      <c r="M72" s="13">
        <v>0</v>
      </c>
      <c r="N72" s="13">
        <v>0</v>
      </c>
    </row>
    <row r="73" spans="1:14" s="8" customFormat="1" ht="27.95" customHeight="1" x14ac:dyDescent="0.25">
      <c r="A73" s="10">
        <v>59</v>
      </c>
      <c r="B73" s="11" t="s">
        <v>68</v>
      </c>
      <c r="C73" s="12">
        <v>33169</v>
      </c>
      <c r="D73" s="12">
        <v>30408</v>
      </c>
      <c r="E73" s="13">
        <v>2.4765000000000001</v>
      </c>
      <c r="F73" s="13">
        <v>84.127600000000001</v>
      </c>
      <c r="G73" s="12">
        <v>36690</v>
      </c>
      <c r="H73" s="12">
        <v>31912</v>
      </c>
      <c r="I73" s="13">
        <v>2.4765000000000001</v>
      </c>
      <c r="J73" s="13">
        <v>84.127600000000001</v>
      </c>
      <c r="K73" s="12">
        <v>41046</v>
      </c>
      <c r="L73" s="12">
        <v>37644</v>
      </c>
      <c r="M73" s="13">
        <v>1.3291999999999999</v>
      </c>
      <c r="N73" s="13">
        <v>151.8014</v>
      </c>
    </row>
    <row r="74" spans="1:14" s="8" customFormat="1" ht="27.95" customHeight="1" x14ac:dyDescent="0.25">
      <c r="A74" s="10">
        <v>60</v>
      </c>
      <c r="B74" s="11" t="s">
        <v>69</v>
      </c>
      <c r="C74" s="12">
        <v>93754</v>
      </c>
      <c r="D74" s="12">
        <v>90474</v>
      </c>
      <c r="E74" s="13">
        <v>2031.6841000000002</v>
      </c>
      <c r="F74" s="13">
        <v>2478.63375</v>
      </c>
      <c r="G74" s="12">
        <v>103745</v>
      </c>
      <c r="H74" s="12">
        <v>90794</v>
      </c>
      <c r="I74" s="13">
        <v>2127.3665000000001</v>
      </c>
      <c r="J74" s="13">
        <v>2383.3555000000006</v>
      </c>
      <c r="K74" s="12">
        <v>105822</v>
      </c>
      <c r="L74" s="12">
        <v>95622</v>
      </c>
      <c r="M74" s="13">
        <v>2497.2575000000002</v>
      </c>
      <c r="N74" s="13">
        <v>2510.9967300999997</v>
      </c>
    </row>
    <row r="75" spans="1:14" s="8" customFormat="1" ht="27.95" customHeight="1" x14ac:dyDescent="0.25">
      <c r="A75" s="10">
        <v>61</v>
      </c>
      <c r="B75" s="11" t="s">
        <v>36</v>
      </c>
      <c r="C75" s="12">
        <v>39069</v>
      </c>
      <c r="D75" s="12">
        <v>38582</v>
      </c>
      <c r="E75" s="13">
        <v>395.71</v>
      </c>
      <c r="F75" s="13">
        <v>782.90800000000002</v>
      </c>
      <c r="G75" s="12">
        <v>37425</v>
      </c>
      <c r="H75" s="12">
        <v>35669</v>
      </c>
      <c r="I75" s="13">
        <v>354.44749999999999</v>
      </c>
      <c r="J75" s="13">
        <v>639.22699999999998</v>
      </c>
      <c r="K75" s="12">
        <v>44557</v>
      </c>
      <c r="L75" s="12">
        <v>44955</v>
      </c>
      <c r="M75" s="13">
        <v>333.79199999999997</v>
      </c>
      <c r="N75" s="13">
        <v>729.54899999999998</v>
      </c>
    </row>
    <row r="76" spans="1:14" s="8" customFormat="1" ht="27.95" customHeight="1" x14ac:dyDescent="0.25">
      <c r="A76" s="10">
        <v>62</v>
      </c>
      <c r="B76" s="11" t="s">
        <v>41</v>
      </c>
      <c r="C76" s="12">
        <v>10008</v>
      </c>
      <c r="D76" s="12">
        <v>8919</v>
      </c>
      <c r="E76" s="13">
        <v>606.83399999999995</v>
      </c>
      <c r="F76" s="13">
        <v>591.274</v>
      </c>
      <c r="G76" s="12">
        <v>13513</v>
      </c>
      <c r="H76" s="12">
        <v>11937</v>
      </c>
      <c r="I76" s="13">
        <v>675.53399999999999</v>
      </c>
      <c r="J76" s="13">
        <v>661.73699999999997</v>
      </c>
      <c r="K76" s="12">
        <v>12895</v>
      </c>
      <c r="L76" s="12">
        <v>13063</v>
      </c>
      <c r="M76" s="13">
        <v>693.995</v>
      </c>
      <c r="N76" s="13">
        <v>578.58199999999999</v>
      </c>
    </row>
    <row r="77" spans="1:14" s="8" customFormat="1" ht="27.95" customHeight="1" x14ac:dyDescent="0.25">
      <c r="A77" s="10">
        <v>63</v>
      </c>
      <c r="B77" s="11" t="s">
        <v>84</v>
      </c>
      <c r="C77" s="12">
        <v>19934</v>
      </c>
      <c r="D77" s="12">
        <v>20809</v>
      </c>
      <c r="E77" s="13">
        <v>0.56899999999999995</v>
      </c>
      <c r="F77" s="13">
        <v>160.667</v>
      </c>
      <c r="G77" s="12">
        <v>22575</v>
      </c>
      <c r="H77" s="12">
        <v>22731</v>
      </c>
      <c r="I77" s="13">
        <v>2.427</v>
      </c>
      <c r="J77" s="13">
        <v>109.908</v>
      </c>
      <c r="K77" s="12">
        <v>24162</v>
      </c>
      <c r="L77" s="12">
        <v>25036</v>
      </c>
      <c r="M77" s="13">
        <v>4.0229999999999997</v>
      </c>
      <c r="N77" s="13">
        <v>156.84200000000001</v>
      </c>
    </row>
    <row r="78" spans="1:14" s="8" customFormat="1" ht="27.95" customHeight="1" x14ac:dyDescent="0.25">
      <c r="A78" s="10">
        <v>64</v>
      </c>
      <c r="B78" s="11" t="s">
        <v>46</v>
      </c>
      <c r="C78" s="12">
        <v>38210</v>
      </c>
      <c r="D78" s="12">
        <v>37917</v>
      </c>
      <c r="E78" s="13">
        <v>1751.203</v>
      </c>
      <c r="F78" s="13">
        <v>1162.326</v>
      </c>
      <c r="G78" s="12">
        <v>51710</v>
      </c>
      <c r="H78" s="12">
        <v>49515</v>
      </c>
      <c r="I78" s="13">
        <v>1700.973</v>
      </c>
      <c r="J78" s="13">
        <v>1506.607</v>
      </c>
      <c r="K78" s="12">
        <v>55368</v>
      </c>
      <c r="L78" s="12">
        <v>57472</v>
      </c>
      <c r="M78" s="13">
        <v>1713.4760000000001</v>
      </c>
      <c r="N78" s="13">
        <v>1506.289</v>
      </c>
    </row>
    <row r="79" spans="1:14" s="8" customFormat="1" ht="27.95" customHeight="1" x14ac:dyDescent="0.25">
      <c r="A79" s="10">
        <v>65</v>
      </c>
      <c r="B79" s="11" t="s">
        <v>85</v>
      </c>
      <c r="C79" s="12">
        <v>2647</v>
      </c>
      <c r="D79" s="12">
        <v>3184</v>
      </c>
      <c r="E79" s="13">
        <v>0</v>
      </c>
      <c r="F79" s="13">
        <v>0</v>
      </c>
      <c r="G79" s="12">
        <v>4025</v>
      </c>
      <c r="H79" s="12">
        <v>3448</v>
      </c>
      <c r="I79" s="13">
        <v>6.2670000000000003</v>
      </c>
      <c r="J79" s="13">
        <v>4.3280000000000003</v>
      </c>
      <c r="K79" s="12">
        <v>3616</v>
      </c>
      <c r="L79" s="12">
        <v>3519</v>
      </c>
      <c r="M79" s="13">
        <v>15.766999999999999</v>
      </c>
      <c r="N79" s="13">
        <v>5.1070000000000002</v>
      </c>
    </row>
    <row r="80" spans="1:14" s="8" customFormat="1" ht="27.95" customHeight="1" x14ac:dyDescent="0.25">
      <c r="A80" s="10">
        <v>66</v>
      </c>
      <c r="B80" s="11" t="s">
        <v>80</v>
      </c>
      <c r="C80" s="12">
        <v>7182</v>
      </c>
      <c r="D80" s="12">
        <v>6763</v>
      </c>
      <c r="E80" s="13">
        <v>0</v>
      </c>
      <c r="F80" s="13">
        <v>0</v>
      </c>
      <c r="G80" s="12">
        <v>6133</v>
      </c>
      <c r="H80" s="12">
        <v>5537</v>
      </c>
      <c r="I80" s="13">
        <v>0</v>
      </c>
      <c r="J80" s="13">
        <v>0</v>
      </c>
      <c r="K80" s="12">
        <v>8283</v>
      </c>
      <c r="L80" s="12">
        <v>8158</v>
      </c>
      <c r="M80" s="13">
        <v>0</v>
      </c>
      <c r="N80" s="13">
        <v>0</v>
      </c>
    </row>
    <row r="81" spans="1:14" s="8" customFormat="1" ht="27.95" customHeight="1" x14ac:dyDescent="0.25">
      <c r="A81" s="10">
        <v>67</v>
      </c>
      <c r="B81" s="11" t="s">
        <v>23</v>
      </c>
      <c r="C81" s="12">
        <v>21447</v>
      </c>
      <c r="D81" s="12">
        <v>17123</v>
      </c>
      <c r="E81" s="13">
        <v>2227.239</v>
      </c>
      <c r="F81" s="13">
        <v>2671.692</v>
      </c>
      <c r="G81" s="12">
        <v>11150</v>
      </c>
      <c r="H81" s="12">
        <v>7862</v>
      </c>
      <c r="I81" s="13">
        <v>2408.9964500000001</v>
      </c>
      <c r="J81" s="13">
        <v>2926.8090499999998</v>
      </c>
      <c r="K81" s="12">
        <v>22912</v>
      </c>
      <c r="L81" s="12">
        <v>18129</v>
      </c>
      <c r="M81" s="13">
        <v>2932.4654999999998</v>
      </c>
      <c r="N81" s="13">
        <v>3371.1757800000005</v>
      </c>
    </row>
    <row r="82" spans="1:14" s="8" customFormat="1" ht="27.95" customHeight="1" x14ac:dyDescent="0.25">
      <c r="A82" s="10">
        <v>68</v>
      </c>
      <c r="B82" s="11" t="s">
        <v>24</v>
      </c>
      <c r="C82" s="12">
        <v>14073</v>
      </c>
      <c r="D82" s="12">
        <v>12609</v>
      </c>
      <c r="E82" s="13">
        <v>142.27106000000001</v>
      </c>
      <c r="F82" s="13">
        <v>179.43852000000001</v>
      </c>
      <c r="G82" s="12">
        <v>13801</v>
      </c>
      <c r="H82" s="12">
        <v>11937</v>
      </c>
      <c r="I82" s="13">
        <v>134.23295000000002</v>
      </c>
      <c r="J82" s="13">
        <v>175.51719</v>
      </c>
      <c r="K82" s="12">
        <v>13823</v>
      </c>
      <c r="L82" s="12">
        <v>11281</v>
      </c>
      <c r="M82" s="13">
        <v>117.13117999999999</v>
      </c>
      <c r="N82" s="13">
        <v>168.47765999999999</v>
      </c>
    </row>
    <row r="83" spans="1:14" s="8" customFormat="1" ht="27.95" customHeight="1" x14ac:dyDescent="0.25">
      <c r="A83" s="10">
        <v>69</v>
      </c>
      <c r="B83" s="11" t="s">
        <v>70</v>
      </c>
      <c r="C83" s="12">
        <v>0</v>
      </c>
      <c r="D83" s="12">
        <v>0</v>
      </c>
      <c r="E83" s="13">
        <v>776.995</v>
      </c>
      <c r="F83" s="13">
        <v>1212.0519999999999</v>
      </c>
      <c r="G83" s="12">
        <v>0</v>
      </c>
      <c r="H83" s="12">
        <v>0</v>
      </c>
      <c r="I83" s="13">
        <v>862.03099999999995</v>
      </c>
      <c r="J83" s="13">
        <v>1167.125</v>
      </c>
      <c r="K83" s="12">
        <v>0</v>
      </c>
      <c r="L83" s="12">
        <v>0</v>
      </c>
      <c r="M83" s="13">
        <v>810.26199999999994</v>
      </c>
      <c r="N83" s="13">
        <v>1353.424</v>
      </c>
    </row>
    <row r="84" spans="1:14" s="8" customFormat="1" ht="27.95" customHeight="1" x14ac:dyDescent="0.25">
      <c r="A84" s="10">
        <v>70</v>
      </c>
      <c r="B84" s="11" t="s">
        <v>71</v>
      </c>
      <c r="C84" s="12">
        <v>5500</v>
      </c>
      <c r="D84" s="12">
        <v>6041</v>
      </c>
      <c r="E84" s="13">
        <v>0</v>
      </c>
      <c r="F84" s="13">
        <v>0.51800000000000002</v>
      </c>
      <c r="G84" s="12">
        <v>6097</v>
      </c>
      <c r="H84" s="12">
        <v>6249</v>
      </c>
      <c r="I84" s="13">
        <v>0</v>
      </c>
      <c r="J84" s="13">
        <v>0.96899999999999997</v>
      </c>
      <c r="K84" s="12">
        <v>6589</v>
      </c>
      <c r="L84" s="12">
        <v>6608</v>
      </c>
      <c r="M84" s="13">
        <v>0</v>
      </c>
      <c r="N84" s="13">
        <v>0.12</v>
      </c>
    </row>
    <row r="85" spans="1:14" s="8" customFormat="1" ht="27.95" customHeight="1" x14ac:dyDescent="0.25">
      <c r="A85" s="10">
        <v>71</v>
      </c>
      <c r="B85" s="11" t="s">
        <v>25</v>
      </c>
      <c r="C85" s="12">
        <v>3528</v>
      </c>
      <c r="D85" s="12">
        <v>2892</v>
      </c>
      <c r="E85" s="13">
        <v>20.536000000000001</v>
      </c>
      <c r="F85" s="13">
        <v>156.637</v>
      </c>
      <c r="G85" s="12">
        <v>3687</v>
      </c>
      <c r="H85" s="12">
        <v>4099</v>
      </c>
      <c r="I85" s="13">
        <v>36.960999999999999</v>
      </c>
      <c r="J85" s="13">
        <v>149.244</v>
      </c>
      <c r="K85" s="12">
        <v>3638</v>
      </c>
      <c r="L85" s="12">
        <v>3449</v>
      </c>
      <c r="M85" s="13">
        <v>31.933</v>
      </c>
      <c r="N85" s="13">
        <v>158.483</v>
      </c>
    </row>
    <row r="86" spans="1:14" s="8" customFormat="1" ht="27.95" customHeight="1" x14ac:dyDescent="0.25">
      <c r="A86" s="10">
        <v>72</v>
      </c>
      <c r="B86" s="11" t="s">
        <v>86</v>
      </c>
      <c r="C86" s="12"/>
      <c r="D86" s="12"/>
      <c r="E86" s="13">
        <v>0</v>
      </c>
      <c r="F86" s="13">
        <v>0</v>
      </c>
      <c r="G86" s="12">
        <v>10252</v>
      </c>
      <c r="H86" s="12">
        <v>10118</v>
      </c>
      <c r="I86" s="13">
        <v>24.571000000000002</v>
      </c>
      <c r="J86" s="13">
        <v>28.991099999999999</v>
      </c>
      <c r="K86" s="12">
        <v>11648</v>
      </c>
      <c r="L86" s="12">
        <v>13202</v>
      </c>
      <c r="M86" s="13">
        <v>21.923299999999998</v>
      </c>
      <c r="N86" s="13">
        <v>29.0319</v>
      </c>
    </row>
    <row r="87" spans="1:14" s="8" customFormat="1" ht="27.95" customHeight="1" x14ac:dyDescent="0.25">
      <c r="A87" s="10">
        <v>73</v>
      </c>
      <c r="B87" s="11" t="s">
        <v>26</v>
      </c>
      <c r="C87" s="12">
        <v>22049</v>
      </c>
      <c r="D87" s="12">
        <v>17160</v>
      </c>
      <c r="E87" s="13">
        <v>797.54200000000003</v>
      </c>
      <c r="F87" s="13">
        <v>1451.2950000000001</v>
      </c>
      <c r="G87" s="12">
        <v>21451</v>
      </c>
      <c r="H87" s="12">
        <v>17813</v>
      </c>
      <c r="I87" s="13">
        <v>591.90499999999997</v>
      </c>
      <c r="J87" s="13">
        <v>1380.3510000000001</v>
      </c>
      <c r="K87" s="12">
        <v>7487</v>
      </c>
      <c r="L87" s="12">
        <v>5649</v>
      </c>
      <c r="M87" s="13">
        <v>303.392</v>
      </c>
      <c r="N87" s="13">
        <v>515.22299999999996</v>
      </c>
    </row>
    <row r="88" spans="1:14" s="8" customFormat="1" ht="27.95" customHeight="1" x14ac:dyDescent="0.25">
      <c r="A88" s="10">
        <v>74</v>
      </c>
      <c r="B88" s="11" t="s">
        <v>27</v>
      </c>
      <c r="C88" s="12">
        <v>1370</v>
      </c>
      <c r="D88" s="12">
        <v>1216</v>
      </c>
      <c r="E88" s="13">
        <v>0</v>
      </c>
      <c r="F88" s="13">
        <v>9.6780000000000008</v>
      </c>
      <c r="G88" s="12">
        <v>1183</v>
      </c>
      <c r="H88" s="12">
        <v>1044</v>
      </c>
      <c r="I88" s="13">
        <v>0</v>
      </c>
      <c r="J88" s="13">
        <v>11.807600000000001</v>
      </c>
      <c r="K88" s="12">
        <v>1044</v>
      </c>
      <c r="L88" s="12">
        <v>1017</v>
      </c>
      <c r="M88" s="13">
        <v>0</v>
      </c>
      <c r="N88" s="13">
        <v>9.6560000000000006</v>
      </c>
    </row>
    <row r="89" spans="1:14" ht="27.75" customHeight="1" x14ac:dyDescent="0.25">
      <c r="A89" s="34" t="s">
        <v>28</v>
      </c>
      <c r="B89" s="34"/>
      <c r="C89" s="18">
        <f t="shared" ref="C89:N89" si="1">SUM(C15:C88)</f>
        <v>1327673</v>
      </c>
      <c r="D89" s="18">
        <f t="shared" si="1"/>
        <v>1277160</v>
      </c>
      <c r="E89" s="19">
        <f t="shared" si="1"/>
        <v>46506.041224000008</v>
      </c>
      <c r="F89" s="19">
        <f t="shared" si="1"/>
        <v>62305.510477999997</v>
      </c>
      <c r="G89" s="18">
        <f t="shared" si="1"/>
        <v>1386930</v>
      </c>
      <c r="H89" s="18">
        <f t="shared" si="1"/>
        <v>1258766</v>
      </c>
      <c r="I89" s="19">
        <f t="shared" si="1"/>
        <v>45524.861147000011</v>
      </c>
      <c r="J89" s="19">
        <f t="shared" si="1"/>
        <v>59341.318984999991</v>
      </c>
      <c r="K89" s="18">
        <f t="shared" si="1"/>
        <v>1526542</v>
      </c>
      <c r="L89" s="18">
        <f t="shared" si="1"/>
        <v>1426573</v>
      </c>
      <c r="M89" s="19">
        <f t="shared" si="1"/>
        <v>46648.456770000012</v>
      </c>
      <c r="N89" s="19">
        <f t="shared" si="1"/>
        <v>58547.488382099982</v>
      </c>
    </row>
    <row r="90" spans="1:14" ht="41.25" customHeight="1" x14ac:dyDescent="0.25">
      <c r="A90" s="35" t="s">
        <v>29</v>
      </c>
      <c r="B90" s="35"/>
      <c r="C90" s="20">
        <f t="shared" ref="C90:N90" si="2">C13+C89</f>
        <v>2297301</v>
      </c>
      <c r="D90" s="20">
        <f t="shared" si="2"/>
        <v>2280350</v>
      </c>
      <c r="E90" s="21">
        <f t="shared" si="2"/>
        <v>51169.034494000007</v>
      </c>
      <c r="F90" s="21">
        <f t="shared" si="2"/>
        <v>73760.426718000002</v>
      </c>
      <c r="G90" s="20">
        <f t="shared" si="2"/>
        <v>2440696</v>
      </c>
      <c r="H90" s="20">
        <f t="shared" si="2"/>
        <v>2259589</v>
      </c>
      <c r="I90" s="21">
        <f t="shared" si="2"/>
        <v>50027.51541700001</v>
      </c>
      <c r="J90" s="21">
        <f t="shared" si="2"/>
        <v>70269.051924999992</v>
      </c>
      <c r="K90" s="20">
        <f t="shared" si="2"/>
        <v>2692011</v>
      </c>
      <c r="L90" s="20">
        <f t="shared" si="2"/>
        <v>2540065</v>
      </c>
      <c r="M90" s="21">
        <f t="shared" si="2"/>
        <v>51514.581170000012</v>
      </c>
      <c r="N90" s="21">
        <f t="shared" si="2"/>
        <v>69506.102792099977</v>
      </c>
    </row>
    <row r="91" spans="1:14" s="8" customFormat="1" ht="30.75" customHeight="1" x14ac:dyDescent="0.3">
      <c r="A91" s="28" t="s">
        <v>88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30"/>
    </row>
    <row r="92" spans="1:14" s="8" customFormat="1" ht="21" customHeight="1" x14ac:dyDescent="0.3">
      <c r="A92" s="27" t="s">
        <v>35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</row>
    <row r="93" spans="1:14" ht="18.75" customHeight="1" x14ac:dyDescent="0.25"/>
    <row r="94" spans="1:14" ht="18.75" customHeight="1" x14ac:dyDescent="0.25"/>
    <row r="95" spans="1:14" ht="18.75" customHeight="1" x14ac:dyDescent="0.25"/>
  </sheetData>
  <mergeCells count="14">
    <mergeCell ref="A92:N92"/>
    <mergeCell ref="A91:N91"/>
    <mergeCell ref="A5:N5"/>
    <mergeCell ref="A13:B13"/>
    <mergeCell ref="A14:N14"/>
    <mergeCell ref="A89:B89"/>
    <mergeCell ref="A90:B90"/>
    <mergeCell ref="A1:N1"/>
    <mergeCell ref="A2:N2"/>
    <mergeCell ref="A3:A4"/>
    <mergeCell ref="B3:B4"/>
    <mergeCell ref="C3:F3"/>
    <mergeCell ref="G3:J3"/>
    <mergeCell ref="K3:N3"/>
  </mergeCells>
  <printOptions horizontalCentered="1"/>
  <pageMargins left="0" right="0" top="3.937007874015748E-2" bottom="3.937007874015748E-2" header="0.31496062992125984" footer="0.31496062992125984"/>
  <pageSetup scale="39" fitToHeight="2" orientation="landscape" r:id="rId1"/>
  <headerFooter>
    <oddFooter>Page &amp;P of &amp;N</oddFooter>
  </headerFooter>
  <rowBreaks count="1" manualBreakCount="1">
    <brk id="4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2023-02-10T05:27:10Z</dcterms:modified>
</cp:coreProperties>
</file>