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Nitin Soni, JSO\Revised Data of Non Scheduled Int Opertn\Excel Dec 2020\"/>
    </mc:Choice>
  </mc:AlternateContent>
  <bookViews>
    <workbookView xWindow="0" yWindow="0" windowWidth="24000" windowHeight="9435"/>
  </bookViews>
  <sheets>
    <sheet name="Monthly_Template" sheetId="2" r:id="rId1"/>
    <sheet name="Sheet1" sheetId="1" r:id="rId2"/>
  </sheets>
  <externalReferences>
    <externalReference r:id="rId3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Monthly_Template!$C$134</definedName>
    <definedName name="\x">#REF!</definedName>
    <definedName name="_Regression_Int" localSheetId="0" hidden="1">1</definedName>
    <definedName name="airline">[1]Interface!$AT$7:$AT$32</definedName>
    <definedName name="data">[1]Interface!$AR$7:$AR$21</definedName>
    <definedName name="_xlnm.Print_Area" localSheetId="0">Monthly_Template!$A$1:$Q$38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" i="2" l="1"/>
  <c r="H8" i="2"/>
  <c r="H7" i="2"/>
  <c r="H6" i="2"/>
  <c r="H5" i="2"/>
  <c r="O9" i="2" l="1"/>
  <c r="Q9" i="2" s="1"/>
  <c r="K9" i="2"/>
  <c r="O8" i="2" l="1"/>
  <c r="Q8" i="2" s="1"/>
  <c r="K8" i="2"/>
  <c r="H4" i="2" l="1"/>
  <c r="K4" i="2"/>
  <c r="O4" i="2"/>
  <c r="Q4" i="2" s="1"/>
  <c r="K5" i="2"/>
  <c r="O5" i="2"/>
  <c r="Q5" i="2" s="1"/>
  <c r="K6" i="2"/>
  <c r="O6" i="2"/>
  <c r="Q6" i="2" s="1"/>
  <c r="K7" i="2"/>
  <c r="O7" i="2"/>
  <c r="Q7" i="2" s="1"/>
  <c r="H10" i="2"/>
  <c r="K10" i="2"/>
  <c r="O10" i="2"/>
  <c r="Q10" i="2" s="1"/>
  <c r="H11" i="2"/>
  <c r="K11" i="2"/>
  <c r="O11" i="2"/>
  <c r="Q11" i="2" s="1"/>
  <c r="H12" i="2"/>
  <c r="K12" i="2"/>
  <c r="O12" i="2"/>
  <c r="Q12" i="2" s="1"/>
  <c r="H13" i="2"/>
  <c r="K13" i="2"/>
  <c r="O13" i="2"/>
  <c r="Q13" i="2" s="1"/>
  <c r="H14" i="2"/>
  <c r="K14" i="2"/>
  <c r="O14" i="2"/>
  <c r="Q14" i="2" s="1"/>
  <c r="H15" i="2"/>
  <c r="K15" i="2"/>
  <c r="O15" i="2"/>
  <c r="Q15" i="2" s="1"/>
  <c r="B16" i="2"/>
  <c r="C16" i="2"/>
  <c r="D16" i="2"/>
  <c r="E16" i="2"/>
  <c r="F16" i="2"/>
  <c r="G16" i="2"/>
  <c r="I16" i="2"/>
  <c r="J16" i="2"/>
  <c r="L16" i="2"/>
  <c r="M16" i="2"/>
  <c r="N16" i="2"/>
  <c r="P16" i="2"/>
  <c r="H23" i="2"/>
  <c r="K23" i="2"/>
  <c r="O23" i="2"/>
  <c r="Q23" i="2" s="1"/>
  <c r="H24" i="2"/>
  <c r="K24" i="2"/>
  <c r="O24" i="2"/>
  <c r="Q24" i="2" s="1"/>
  <c r="H25" i="2"/>
  <c r="K25" i="2"/>
  <c r="O25" i="2"/>
  <c r="Q25" i="2" s="1"/>
  <c r="H26" i="2"/>
  <c r="K26" i="2"/>
  <c r="O26" i="2"/>
  <c r="Q26" i="2" s="1"/>
  <c r="H27" i="2"/>
  <c r="K27" i="2"/>
  <c r="O27" i="2"/>
  <c r="Q27" i="2" s="1"/>
  <c r="H28" i="2"/>
  <c r="K28" i="2"/>
  <c r="O28" i="2"/>
  <c r="Q28" i="2" s="1"/>
  <c r="H29" i="2"/>
  <c r="K29" i="2"/>
  <c r="O29" i="2"/>
  <c r="Q29" i="2" s="1"/>
  <c r="H30" i="2"/>
  <c r="K30" i="2"/>
  <c r="O30" i="2"/>
  <c r="Q30" i="2" s="1"/>
  <c r="H31" i="2"/>
  <c r="K31" i="2"/>
  <c r="O31" i="2"/>
  <c r="Q31" i="2" s="1"/>
  <c r="H32" i="2"/>
  <c r="K32" i="2"/>
  <c r="O32" i="2"/>
  <c r="Q32" i="2" s="1"/>
  <c r="H33" i="2"/>
  <c r="K33" i="2"/>
  <c r="O33" i="2"/>
  <c r="Q33" i="2" s="1"/>
  <c r="H34" i="2"/>
  <c r="K34" i="2"/>
  <c r="O34" i="2"/>
  <c r="Q34" i="2" s="1"/>
  <c r="B35" i="2"/>
  <c r="C35" i="2"/>
  <c r="D35" i="2"/>
  <c r="E35" i="2"/>
  <c r="F35" i="2"/>
  <c r="G35" i="2"/>
  <c r="I35" i="2"/>
  <c r="J35" i="2"/>
  <c r="L35" i="2"/>
  <c r="M35" i="2"/>
  <c r="N35" i="2"/>
  <c r="P35" i="2"/>
  <c r="O16" i="2" l="1"/>
  <c r="Q16" i="2" s="1"/>
  <c r="K16" i="2"/>
  <c r="H16" i="2"/>
  <c r="O35" i="2"/>
  <c r="Q35" i="2" s="1"/>
  <c r="K35" i="2"/>
  <c r="H35" i="2"/>
</calcChain>
</file>

<file path=xl/sharedStrings.xml><?xml version="1.0" encoding="utf-8"?>
<sst xmlns="http://schemas.openxmlformats.org/spreadsheetml/2006/main" count="75" uniqueCount="39">
  <si>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</si>
  <si>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</si>
  <si>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</si>
  <si>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</si>
  <si>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</si>
  <si>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PAX.LOAD FACTOR#
(IN %)</t>
  </si>
  <si>
    <t xml:space="preserve"> CARGO CARRIED </t>
  </si>
  <si>
    <t xml:space="preserve">    TONNE  KILOMETRE PERFORMED </t>
  </si>
  <si>
    <t>AVAILABLE TONNE KILOMETRE
(IN THOUSAND)</t>
  </si>
  <si>
    <t xml:space="preserve"> WEIGHT LOAD FACTOR##
(IN %)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</si>
  <si>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</si>
  <si>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</si>
  <si>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</si>
  <si>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</si>
  <si>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</si>
  <si>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</si>
  <si>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</si>
  <si>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</si>
  <si>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</si>
  <si>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</si>
  <si>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</si>
  <si>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</si>
  <si>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</si>
  <si>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</si>
  <si>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</si>
  <si>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</si>
  <si>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</si>
  <si>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</si>
  <si>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</si>
  <si>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</si>
  <si>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</si>
  <si>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</si>
  <si>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TOTAL</t>
  </si>
  <si>
    <t>NOTE:- # PAX LOAD FACTOR = (PAX KM PERFORMED/AVAILABLE SEAT KMS)*100</t>
  </si>
  <si>
    <t xml:space="preserve">          # # WEIGHT LOAD FACTOR = (TONNE KMS PERFORMED/ AVAILABLE TONNE KMS)*100</t>
  </si>
  <si>
    <t>[</t>
  </si>
  <si>
    <r>
      <t xml:space="preserve">Monthly Traffic And Operating Statistics of Indian Carriers During 2021 (Provisional)
 </t>
    </r>
    <r>
      <rPr>
        <b/>
        <sz val="16"/>
        <color theme="1"/>
        <rFont val="Cambria"/>
        <family val="1"/>
      </rPr>
      <t>( Scheduled Domestic Services)</t>
    </r>
  </si>
  <si>
    <t xml:space="preserve">SOURCE:-ICAO ATR FORM A FURNISHED BY </t>
  </si>
  <si>
    <r>
      <t xml:space="preserve">Monthly Traffic And Operating Statistics of Indian Carriers During 2021 (Provisional)
</t>
    </r>
    <r>
      <rPr>
        <b/>
        <sz val="16"/>
        <color theme="1"/>
        <rFont val="Cambria"/>
        <family val="1"/>
      </rPr>
      <t xml:space="preserve"> (Non- Scheduled Domestic Services)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</si>
</sst>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13" x14ac:knownFonts="1">
    <font>
      <sz val="11"/>
      <color theme="1"/>
      <name val="Calibri"/>
      <family val="2"/>
      <charset val="1"/>
      <scheme val="minor"/>
    </font>
    <font>
      <sz val="10"/>
      <name val="Courier"/>
    </font>
    <font>
      <b/>
      <sz val="18"/>
      <color theme="1"/>
      <name val="Calibri Light"/>
      <family val="1"/>
      <scheme val="major"/>
    </font>
    <font>
      <sz val="12"/>
      <color theme="1"/>
      <name val="Calibri Light"/>
      <family val="1"/>
      <scheme val="major"/>
    </font>
    <font>
      <sz val="14"/>
      <color theme="1"/>
      <name val="Calibri Light"/>
      <family val="1"/>
      <scheme val="major"/>
    </font>
    <font>
      <b/>
      <sz val="11"/>
      <color theme="1"/>
      <name val="Cambria"/>
      <family val="1"/>
    </font>
    <font>
      <b/>
      <sz val="16"/>
      <color theme="1"/>
      <name val="Cambria"/>
      <family val="1"/>
    </font>
    <font>
      <b/>
      <sz val="11"/>
      <color theme="1"/>
      <name val="Calibri Light"/>
      <family val="1"/>
      <scheme val="major"/>
    </font>
    <font>
      <sz val="11"/>
      <color theme="1"/>
      <name val="Calibri Light"/>
      <family val="1"/>
      <scheme val="major"/>
    </font>
    <font>
      <b/>
      <sz val="12"/>
      <color theme="1"/>
      <name val="Calibri Light"/>
      <family val="1"/>
      <scheme val="major"/>
    </font>
    <font>
      <b/>
      <sz val="12"/>
      <color theme="1"/>
      <name val="Cambria"/>
      <family val="1"/>
    </font>
    <font>
      <sz val="12"/>
      <color theme="1"/>
      <name val="Calibri"/>
      <family val="2"/>
      <scheme val="minor"/>
    </font>
    <font>
      <sz val="11"/>
      <name val="Calibri Light"/>
      <family val="1"/>
      <scheme val="maj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4">
    <xf numFmtId="0" fontId="0" fillId="0" borderId="0" xfId="0"/>
    <xf numFmtId="0" fontId="3" fillId="6" borderId="0" xfId="1" applyFont="1" applyFill="1" applyBorder="1" applyAlignment="1" applyProtection="1">
      <alignment horizontal="center" vertical="center" wrapText="1"/>
    </xf>
    <xf numFmtId="3" fontId="3" fillId="6" borderId="9" xfId="1" applyNumberFormat="1" applyFont="1" applyFill="1" applyBorder="1" applyAlignment="1" applyProtection="1">
      <alignment horizontal="center" vertical="center" wrapText="1"/>
    </xf>
    <xf numFmtId="3" fontId="3" fillId="6" borderId="0" xfId="1" applyNumberFormat="1" applyFont="1" applyFill="1" applyBorder="1" applyAlignment="1" applyProtection="1">
      <alignment horizontal="center" vertical="center" wrapText="1"/>
    </xf>
    <xf numFmtId="3" fontId="3" fillId="6" borderId="8" xfId="1" applyNumberFormat="1" applyFont="1" applyFill="1" applyBorder="1" applyAlignment="1" applyProtection="1">
      <alignment horizontal="center" vertical="center" wrapText="1"/>
    </xf>
    <xf numFmtId="164" fontId="3" fillId="6" borderId="8" xfId="1" applyNumberFormat="1" applyFont="1" applyFill="1" applyBorder="1" applyAlignment="1" applyProtection="1">
      <alignment horizontal="center" vertical="center" wrapText="1"/>
    </xf>
    <xf numFmtId="164" fontId="3" fillId="6" borderId="9" xfId="1" applyNumberFormat="1" applyFont="1" applyFill="1" applyBorder="1" applyAlignment="1" applyProtection="1">
      <alignment horizontal="center" vertical="center" wrapText="1"/>
    </xf>
    <xf numFmtId="164" fontId="3" fillId="6" borderId="0" xfId="1" applyNumberFormat="1" applyFont="1" applyFill="1" applyBorder="1" applyAlignment="1" applyProtection="1">
      <alignment horizontal="center" vertical="center" wrapText="1"/>
    </xf>
    <xf numFmtId="0" fontId="4" fillId="3" borderId="0" xfId="1" applyFont="1" applyFill="1"/>
    <xf numFmtId="0" fontId="7" fillId="4" borderId="3" xfId="1" applyFont="1" applyFill="1" applyBorder="1" applyAlignment="1" applyProtection="1">
      <alignment horizontal="center" vertical="center" textRotation="90" wrapText="1"/>
    </xf>
    <xf numFmtId="0" fontId="7" fillId="4" borderId="3" xfId="1" quotePrefix="1" applyFont="1" applyFill="1" applyBorder="1" applyAlignment="1" applyProtection="1">
      <alignment horizontal="center" vertical="center" textRotation="90" wrapText="1"/>
    </xf>
    <xf numFmtId="3" fontId="8" fillId="2" borderId="2" xfId="1" applyNumberFormat="1" applyFont="1" applyFill="1" applyBorder="1" applyAlignment="1" applyProtection="1">
      <alignment horizontal="center" vertical="center" wrapText="1"/>
    </xf>
    <xf numFmtId="3" fontId="8" fillId="2" borderId="5" xfId="1" applyNumberFormat="1" applyFont="1" applyFill="1" applyBorder="1" applyAlignment="1" applyProtection="1">
      <alignment horizontal="center" vertical="center" wrapText="1"/>
    </xf>
    <xf numFmtId="3" fontId="8" fillId="2" borderId="6" xfId="1" applyNumberFormat="1" applyFont="1" applyFill="1" applyBorder="1" applyAlignment="1" applyProtection="1">
      <alignment horizontal="center" vertical="center" wrapText="1"/>
    </xf>
    <xf numFmtId="164" fontId="8" fillId="2" borderId="6" xfId="1" applyNumberFormat="1" applyFont="1" applyFill="1" applyBorder="1" applyAlignment="1" applyProtection="1">
      <alignment horizontal="center" vertical="center" wrapText="1"/>
    </xf>
    <xf numFmtId="164" fontId="8" fillId="2" borderId="7" xfId="1" applyNumberFormat="1" applyFont="1" applyFill="1" applyBorder="1" applyAlignment="1" applyProtection="1">
      <alignment horizontal="center" vertical="center" wrapText="1"/>
    </xf>
    <xf numFmtId="164" fontId="8" fillId="2" borderId="5" xfId="1" applyNumberFormat="1" applyFont="1" applyFill="1" applyBorder="1" applyAlignment="1" applyProtection="1">
      <alignment horizontal="center" vertical="center" wrapText="1"/>
    </xf>
    <xf numFmtId="3" fontId="8" fillId="3" borderId="8" xfId="1" applyNumberFormat="1" applyFont="1" applyFill="1" applyBorder="1" applyAlignment="1" applyProtection="1">
      <alignment horizontal="center" vertical="center" wrapText="1"/>
    </xf>
    <xf numFmtId="3" fontId="8" fillId="3" borderId="0" xfId="1" applyNumberFormat="1" applyFont="1" applyFill="1" applyBorder="1" applyAlignment="1" applyProtection="1">
      <alignment horizontal="center" vertical="center" wrapText="1"/>
    </xf>
    <xf numFmtId="3" fontId="8" fillId="3" borderId="9" xfId="1" applyNumberFormat="1" applyFont="1" applyFill="1" applyBorder="1" applyAlignment="1" applyProtection="1">
      <alignment horizontal="center" vertical="center" wrapText="1"/>
    </xf>
    <xf numFmtId="164" fontId="8" fillId="3" borderId="8" xfId="1" applyNumberFormat="1" applyFont="1" applyFill="1" applyBorder="1" applyAlignment="1" applyProtection="1">
      <alignment horizontal="center" vertical="center" wrapText="1"/>
    </xf>
    <xf numFmtId="164" fontId="8" fillId="3" borderId="9" xfId="1" applyNumberFormat="1" applyFont="1" applyFill="1" applyBorder="1" applyAlignment="1" applyProtection="1">
      <alignment horizontal="center" vertical="center" wrapText="1"/>
    </xf>
    <xf numFmtId="164" fontId="8" fillId="3" borderId="0" xfId="1" applyNumberFormat="1" applyFont="1" applyFill="1" applyBorder="1" applyAlignment="1" applyProtection="1">
      <alignment horizontal="center" vertical="center" wrapText="1"/>
    </xf>
    <xf numFmtId="3" fontId="8" fillId="2" borderId="8" xfId="1" applyNumberFormat="1" applyFont="1" applyFill="1" applyBorder="1" applyAlignment="1" applyProtection="1">
      <alignment horizontal="center" vertical="center" wrapText="1"/>
    </xf>
    <xf numFmtId="3" fontId="8" fillId="2" borderId="0" xfId="1" applyNumberFormat="1" applyFont="1" applyFill="1" applyBorder="1" applyAlignment="1" applyProtection="1">
      <alignment horizontal="center" vertical="center" wrapText="1"/>
    </xf>
    <xf numFmtId="3" fontId="8" fillId="2" borderId="9" xfId="1" applyNumberFormat="1" applyFont="1" applyFill="1" applyBorder="1" applyAlignment="1" applyProtection="1">
      <alignment horizontal="center" vertical="center" wrapText="1"/>
    </xf>
    <xf numFmtId="164" fontId="8" fillId="2" borderId="8" xfId="1" applyNumberFormat="1" applyFont="1" applyFill="1" applyBorder="1" applyAlignment="1" applyProtection="1">
      <alignment horizontal="center" vertical="center" wrapText="1"/>
    </xf>
    <xf numFmtId="164" fontId="8" fillId="2" borderId="9" xfId="1" applyNumberFormat="1" applyFont="1" applyFill="1" applyBorder="1" applyAlignment="1" applyProtection="1">
      <alignment horizontal="center" vertical="center" wrapText="1"/>
    </xf>
    <xf numFmtId="164" fontId="8" fillId="2" borderId="0" xfId="1" applyNumberFormat="1" applyFont="1" applyFill="1" applyBorder="1" applyAlignment="1" applyProtection="1">
      <alignment horizontal="center" vertical="center" wrapText="1"/>
    </xf>
    <xf numFmtId="0" fontId="3" fillId="3" borderId="0" xfId="1" applyFont="1" applyFill="1"/>
    <xf numFmtId="3" fontId="8" fillId="3" borderId="10" xfId="1" applyNumberFormat="1" applyFont="1" applyFill="1" applyBorder="1" applyAlignment="1" applyProtection="1">
      <alignment horizontal="center" vertical="center" wrapText="1"/>
    </xf>
    <xf numFmtId="3" fontId="8" fillId="3" borderId="1" xfId="1" applyNumberFormat="1" applyFont="1" applyFill="1" applyBorder="1" applyAlignment="1" applyProtection="1">
      <alignment horizontal="center" vertical="center" wrapText="1"/>
    </xf>
    <xf numFmtId="3" fontId="8" fillId="3" borderId="11" xfId="1" applyNumberFormat="1" applyFont="1" applyFill="1" applyBorder="1" applyAlignment="1" applyProtection="1">
      <alignment horizontal="center" vertical="center" wrapText="1"/>
    </xf>
    <xf numFmtId="3" fontId="8" fillId="3" borderId="12" xfId="1" applyNumberFormat="1" applyFont="1" applyFill="1" applyBorder="1" applyAlignment="1" applyProtection="1">
      <alignment horizontal="center" vertical="center" wrapText="1"/>
    </xf>
    <xf numFmtId="164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2" xfId="1" applyNumberFormat="1" applyFont="1" applyFill="1" applyBorder="1" applyAlignment="1" applyProtection="1">
      <alignment horizontal="center" vertical="center" wrapText="1"/>
    </xf>
    <xf numFmtId="164" fontId="8" fillId="3" borderId="1" xfId="1" applyNumberFormat="1" applyFont="1" applyFill="1" applyBorder="1" applyAlignment="1" applyProtection="1">
      <alignment horizontal="center" vertical="center" wrapText="1"/>
    </xf>
    <xf numFmtId="0" fontId="9" fillId="5" borderId="3" xfId="1" applyFont="1" applyFill="1" applyBorder="1" applyAlignment="1" applyProtection="1">
      <alignment horizontal="center" vertical="center" wrapText="1"/>
    </xf>
    <xf numFmtId="3" fontId="3" fillId="5" borderId="4" xfId="1" applyNumberFormat="1" applyFont="1" applyFill="1" applyBorder="1" applyAlignment="1" applyProtection="1">
      <alignment horizontal="center" vertical="center" wrapText="1"/>
    </xf>
    <xf numFmtId="164" fontId="3" fillId="5" borderId="4" xfId="1" applyNumberFormat="1" applyFont="1" applyFill="1" applyBorder="1" applyAlignment="1" applyProtection="1">
      <alignment horizontal="center" vertical="center" wrapText="1"/>
    </xf>
    <xf numFmtId="164" fontId="3" fillId="5" borderId="3" xfId="1" applyNumberFormat="1" applyFont="1" applyFill="1" applyBorder="1" applyAlignment="1" applyProtection="1">
      <alignment horizontal="center" vertical="center" wrapText="1"/>
    </xf>
    <xf numFmtId="0" fontId="4" fillId="3" borderId="0" xfId="1" applyFont="1" applyFill="1" applyAlignment="1">
      <alignment vertical="center"/>
    </xf>
    <xf numFmtId="0" fontId="9" fillId="7" borderId="2" xfId="1" applyFont="1" applyFill="1" applyBorder="1" applyAlignment="1" applyProtection="1">
      <alignment horizontal="center" vertical="center" textRotation="90" wrapText="1"/>
    </xf>
    <xf numFmtId="0" fontId="9" fillId="7" borderId="2" xfId="1" quotePrefix="1" applyFont="1" applyFill="1" applyBorder="1" applyAlignment="1" applyProtection="1">
      <alignment horizontal="center" vertical="center" textRotation="90" wrapText="1"/>
    </xf>
    <xf numFmtId="3" fontId="3" fillId="6" borderId="7" xfId="1" applyNumberFormat="1" applyFont="1" applyFill="1" applyBorder="1" applyAlignment="1" applyProtection="1">
      <alignment horizontal="center" vertical="center" wrapText="1"/>
    </xf>
    <xf numFmtId="3" fontId="3" fillId="6" borderId="5" xfId="1" applyNumberFormat="1" applyFont="1" applyFill="1" applyBorder="1" applyAlignment="1" applyProtection="1">
      <alignment horizontal="center" vertical="center" wrapText="1"/>
    </xf>
    <xf numFmtId="3" fontId="3" fillId="6" borderId="6" xfId="1" applyNumberFormat="1" applyFont="1" applyFill="1" applyBorder="1" applyAlignment="1" applyProtection="1">
      <alignment horizontal="center" vertical="center" wrapText="1"/>
    </xf>
    <xf numFmtId="164" fontId="3" fillId="6" borderId="6" xfId="1" applyNumberFormat="1" applyFont="1" applyFill="1" applyBorder="1" applyAlignment="1" applyProtection="1">
      <alignment horizontal="center" vertical="center" wrapText="1"/>
    </xf>
    <xf numFmtId="164" fontId="3" fillId="6" borderId="7" xfId="1" applyNumberFormat="1" applyFont="1" applyFill="1" applyBorder="1" applyAlignment="1" applyProtection="1">
      <alignment horizontal="center" vertical="center" wrapText="1"/>
    </xf>
    <xf numFmtId="164" fontId="3" fillId="6" borderId="5" xfId="1" applyNumberFormat="1" applyFont="1" applyFill="1" applyBorder="1" applyAlignment="1" applyProtection="1">
      <alignment horizontal="center" vertical="center" wrapText="1"/>
    </xf>
    <xf numFmtId="0" fontId="3" fillId="3" borderId="0" xfId="1" applyFont="1" applyFill="1" applyBorder="1" applyAlignment="1" applyProtection="1">
      <alignment horizontal="center" vertical="center" wrapText="1"/>
    </xf>
    <xf numFmtId="3" fontId="11" fillId="3" borderId="9" xfId="1" applyNumberFormat="1" applyFont="1" applyFill="1" applyBorder="1" applyAlignment="1" applyProtection="1">
      <alignment horizontal="center" vertical="center" wrapText="1"/>
    </xf>
    <xf numFmtId="3" fontId="11" fillId="3" borderId="0" xfId="1" applyNumberFormat="1" applyFont="1" applyFill="1" applyBorder="1" applyAlignment="1" applyProtection="1">
      <alignment horizontal="center" vertical="center" wrapText="1"/>
    </xf>
    <xf numFmtId="3" fontId="11" fillId="3" borderId="8" xfId="1" applyNumberFormat="1" applyFont="1" applyFill="1" applyBorder="1" applyAlignment="1" applyProtection="1">
      <alignment horizontal="center" vertical="center" wrapText="1"/>
    </xf>
    <xf numFmtId="164" fontId="3" fillId="3" borderId="8" xfId="1" applyNumberFormat="1" applyFont="1" applyFill="1" applyBorder="1" applyAlignment="1" applyProtection="1">
      <alignment horizontal="center" vertical="center" wrapText="1"/>
    </xf>
    <xf numFmtId="164" fontId="11" fillId="3" borderId="9" xfId="1" applyNumberFormat="1" applyFont="1" applyFill="1" applyBorder="1" applyAlignment="1" applyProtection="1">
      <alignment horizontal="center" vertical="center" wrapText="1"/>
    </xf>
    <xf numFmtId="164" fontId="11" fillId="3" borderId="0" xfId="1" applyNumberFormat="1" applyFont="1" applyFill="1" applyBorder="1" applyAlignment="1" applyProtection="1">
      <alignment horizontal="center" vertical="center" wrapText="1"/>
    </xf>
    <xf numFmtId="3" fontId="11" fillId="6" borderId="9" xfId="1" applyNumberFormat="1" applyFont="1" applyFill="1" applyBorder="1" applyAlignment="1" applyProtection="1">
      <alignment horizontal="center" vertical="center" wrapText="1"/>
    </xf>
    <xf numFmtId="3" fontId="11" fillId="6" borderId="0" xfId="1" applyNumberFormat="1" applyFont="1" applyFill="1" applyBorder="1" applyAlignment="1" applyProtection="1">
      <alignment horizontal="center" vertical="center" wrapText="1"/>
    </xf>
    <xf numFmtId="3" fontId="11" fillId="6" borderId="8" xfId="1" applyNumberFormat="1" applyFont="1" applyFill="1" applyBorder="1" applyAlignment="1" applyProtection="1">
      <alignment horizontal="center" vertical="center" wrapText="1"/>
    </xf>
    <xf numFmtId="164" fontId="11" fillId="6" borderId="9" xfId="1" applyNumberFormat="1" applyFont="1" applyFill="1" applyBorder="1" applyAlignment="1" applyProtection="1">
      <alignment horizontal="center" vertical="center" wrapText="1"/>
    </xf>
    <xf numFmtId="164" fontId="11" fillId="6" borderId="0" xfId="1" applyNumberFormat="1" applyFont="1" applyFill="1" applyBorder="1" applyAlignment="1" applyProtection="1">
      <alignment horizontal="center" vertical="center" wrapText="1"/>
    </xf>
    <xf numFmtId="4" fontId="11" fillId="6" borderId="0" xfId="1" applyNumberFormat="1" applyFont="1" applyFill="1" applyBorder="1" applyAlignment="1" applyProtection="1">
      <alignment horizontal="center" vertical="center" wrapText="1"/>
    </xf>
    <xf numFmtId="3" fontId="3" fillId="3" borderId="9" xfId="1" applyNumberFormat="1" applyFont="1" applyFill="1" applyBorder="1" applyAlignment="1" applyProtection="1">
      <alignment horizontal="center" vertical="center" wrapText="1"/>
    </xf>
    <xf numFmtId="3" fontId="3" fillId="3" borderId="0" xfId="1" applyNumberFormat="1" applyFont="1" applyFill="1" applyBorder="1" applyAlignment="1" applyProtection="1">
      <alignment horizontal="center" vertical="center" wrapText="1"/>
    </xf>
    <xf numFmtId="164" fontId="3" fillId="3" borderId="9" xfId="1" applyNumberFormat="1" applyFont="1" applyFill="1" applyBorder="1" applyAlignment="1" applyProtection="1">
      <alignment horizontal="center" vertical="center" wrapText="1"/>
    </xf>
    <xf numFmtId="164" fontId="3" fillId="3" borderId="0" xfId="1" applyNumberFormat="1" applyFont="1" applyFill="1" applyBorder="1" applyAlignment="1" applyProtection="1">
      <alignment horizontal="center" vertical="center" wrapText="1"/>
    </xf>
    <xf numFmtId="3" fontId="3" fillId="3" borderId="8" xfId="1" applyNumberFormat="1" applyFont="1" applyFill="1" applyBorder="1" applyAlignment="1" applyProtection="1">
      <alignment horizontal="center" vertical="center" wrapText="1"/>
    </xf>
    <xf numFmtId="3" fontId="3" fillId="3" borderId="12" xfId="1" applyNumberFormat="1" applyFont="1" applyFill="1" applyBorder="1" applyAlignment="1" applyProtection="1">
      <alignment horizontal="center" vertical="center" wrapText="1"/>
    </xf>
    <xf numFmtId="3" fontId="3" fillId="3" borderId="1" xfId="1" applyNumberFormat="1" applyFont="1" applyFill="1" applyBorder="1" applyAlignment="1" applyProtection="1">
      <alignment horizontal="center" vertical="center" wrapText="1"/>
    </xf>
    <xf numFmtId="3" fontId="3" fillId="3" borderId="11" xfId="1" applyNumberFormat="1" applyFont="1" applyFill="1" applyBorder="1" applyAlignment="1" applyProtection="1">
      <alignment horizontal="center" vertical="center" wrapText="1"/>
    </xf>
    <xf numFmtId="164" fontId="3" fillId="3" borderId="11" xfId="1" applyNumberFormat="1" applyFont="1" applyFill="1" applyBorder="1" applyAlignment="1" applyProtection="1">
      <alignment horizontal="center" vertical="center" wrapText="1"/>
    </xf>
    <xf numFmtId="164" fontId="3" fillId="3" borderId="12" xfId="1" applyNumberFormat="1" applyFont="1" applyFill="1" applyBorder="1" applyAlignment="1" applyProtection="1">
      <alignment horizontal="center" vertical="center" wrapText="1"/>
    </xf>
    <xf numFmtId="164" fontId="3" fillId="3" borderId="1" xfId="1" applyNumberFormat="1" applyFont="1" applyFill="1" applyBorder="1" applyAlignment="1" applyProtection="1">
      <alignment horizontal="center" vertical="center" wrapText="1"/>
    </xf>
    <xf numFmtId="0" fontId="9" fillId="8" borderId="3" xfId="1" applyFont="1" applyFill="1" applyBorder="1" applyAlignment="1" applyProtection="1">
      <alignment horizontal="center" vertical="center" wrapText="1"/>
    </xf>
    <xf numFmtId="3" fontId="3" fillId="8" borderId="10" xfId="1" applyNumberFormat="1" applyFont="1" applyFill="1" applyBorder="1" applyAlignment="1" applyProtection="1">
      <alignment horizontal="center" vertical="center" wrapText="1"/>
    </xf>
    <xf numFmtId="164" fontId="3" fillId="8" borderId="10" xfId="1" applyNumberFormat="1" applyFont="1" applyFill="1" applyBorder="1" applyAlignment="1" applyProtection="1">
      <alignment horizontal="center" vertical="center" wrapText="1"/>
    </xf>
    <xf numFmtId="164" fontId="3" fillId="8" borderId="3" xfId="1" applyNumberFormat="1" applyFont="1" applyFill="1" applyBorder="1" applyAlignment="1" applyProtection="1">
      <alignment horizontal="center" vertical="center" wrapText="1"/>
    </xf>
    <xf numFmtId="165" fontId="4" fillId="3" borderId="0" xfId="1" applyNumberFormat="1" applyFont="1" applyFill="1" applyProtection="1"/>
    <xf numFmtId="0" fontId="4" fillId="3" borderId="0" xfId="1" applyFont="1" applyFill="1" applyAlignment="1" applyProtection="1">
      <alignment horizontal="left"/>
    </xf>
    <xf numFmtId="3" fontId="12" fillId="2" borderId="7" xfId="1" applyNumberFormat="1" applyFont="1" applyFill="1" applyBorder="1" applyAlignment="1" applyProtection="1">
      <alignment horizontal="center" vertical="center" wrapText="1"/>
    </xf>
    <xf numFmtId="3" fontId="12" fillId="2" borderId="5" xfId="1" applyNumberFormat="1" applyFont="1" applyFill="1" applyBorder="1" applyAlignment="1" applyProtection="1">
      <alignment horizontal="center" vertical="center" wrapText="1"/>
    </xf>
    <xf numFmtId="3" fontId="12" fillId="3" borderId="9" xfId="1" applyNumberFormat="1" applyFont="1" applyFill="1" applyBorder="1" applyAlignment="1" applyProtection="1">
      <alignment horizontal="center" vertical="center" wrapText="1"/>
    </xf>
    <xf numFmtId="3" fontId="12" fillId="3" borderId="0" xfId="1" applyNumberFormat="1" applyFont="1" applyFill="1" applyBorder="1" applyAlignment="1" applyProtection="1">
      <alignment horizontal="center" vertical="center" wrapText="1"/>
    </xf>
    <xf numFmtId="164" fontId="12" fillId="2" borderId="7" xfId="1" applyNumberFormat="1" applyFont="1" applyFill="1" applyBorder="1" applyAlignment="1" applyProtection="1">
      <alignment horizontal="center" vertical="center" wrapText="1"/>
    </xf>
    <xf numFmtId="164" fontId="12" fillId="2" borderId="5" xfId="1" applyNumberFormat="1" applyFont="1" applyFill="1" applyBorder="1" applyAlignment="1" applyProtection="1">
      <alignment horizontal="center" vertical="center" wrapText="1"/>
    </xf>
    <xf numFmtId="164" fontId="12" fillId="3" borderId="9" xfId="1" applyNumberFormat="1" applyFont="1" applyFill="1" applyBorder="1" applyAlignment="1" applyProtection="1">
      <alignment horizontal="center" vertical="center" wrapText="1"/>
    </xf>
    <xf numFmtId="164" fontId="12" fillId="3" borderId="0" xfId="1" applyNumberFormat="1" applyFont="1" applyFill="1" applyBorder="1" applyAlignment="1" applyProtection="1">
      <alignment horizontal="center" vertical="center" wrapText="1"/>
    </xf>
    <xf numFmtId="0" fontId="9" fillId="3" borderId="15" xfId="1" applyFont="1" applyFill="1" applyBorder="1" applyAlignment="1">
      <alignment horizontal="left" vertical="center"/>
    </xf>
    <xf numFmtId="0" fontId="9" fillId="3" borderId="13" xfId="1" applyFont="1" applyFill="1" applyBorder="1" applyAlignment="1">
      <alignment horizontal="left" vertical="center"/>
    </xf>
    <xf numFmtId="0" fontId="9" fillId="3" borderId="14" xfId="1" applyFont="1" applyFill="1" applyBorder="1" applyAlignment="1">
      <alignment horizontal="left" vertical="center"/>
    </xf>
    <xf numFmtId="49" fontId="2" fillId="2" borderId="1" xfId="1" applyNumberFormat="1" applyFont="1" applyFill="1" applyBorder="1" applyAlignment="1" applyProtection="1">
      <alignment horizontal="center" vertical="center" wrapText="1"/>
    </xf>
    <xf numFmtId="3" fontId="5" fillId="2" borderId="1" xfId="1" applyNumberFormat="1" applyFont="1" applyFill="1" applyBorder="1" applyAlignment="1" applyProtection="1">
      <alignment horizontal="center" vertical="center" wrapText="1"/>
    </xf>
    <xf numFmtId="3" fontId="2" fillId="2" borderId="1" xfId="1" applyNumberFormat="1" applyFont="1" applyFill="1" applyBorder="1" applyAlignment="1" applyProtection="1">
      <alignment horizontal="center" vertical="center" wrapText="1"/>
    </xf>
    <xf numFmtId="0" fontId="7" fillId="4" borderId="2" xfId="1" applyFont="1" applyFill="1" applyBorder="1" applyAlignment="1" applyProtection="1">
      <alignment horizontal="center" vertical="center" wrapText="1"/>
    </xf>
    <xf numFmtId="0" fontId="7" fillId="4" borderId="10" xfId="1" applyFont="1" applyFill="1" applyBorder="1" applyAlignment="1" applyProtection="1">
      <alignment horizontal="center" vertical="center" wrapText="1"/>
    </xf>
    <xf numFmtId="0" fontId="7" fillId="4" borderId="15" xfId="1" applyFont="1" applyFill="1" applyBorder="1" applyAlignment="1" applyProtection="1">
      <alignment horizontal="center" vertical="center" wrapText="1"/>
    </xf>
    <xf numFmtId="0" fontId="7" fillId="4" borderId="13" xfId="1" applyFont="1" applyFill="1" applyBorder="1" applyAlignment="1" applyProtection="1">
      <alignment horizontal="center" vertical="center" wrapText="1"/>
    </xf>
    <xf numFmtId="0" fontId="7" fillId="4" borderId="14" xfId="1" applyFont="1" applyFill="1" applyBorder="1" applyAlignment="1" applyProtection="1">
      <alignment horizontal="center" vertical="center" wrapText="1"/>
    </xf>
    <xf numFmtId="0" fontId="7" fillId="4" borderId="2" xfId="1" applyFont="1" applyFill="1" applyBorder="1" applyAlignment="1" applyProtection="1">
      <alignment horizontal="center" vertical="center" textRotation="90" wrapText="1"/>
    </xf>
    <xf numFmtId="0" fontId="7" fillId="4" borderId="10" xfId="1" applyFont="1" applyFill="1" applyBorder="1" applyAlignment="1" applyProtection="1">
      <alignment horizontal="center" vertical="center" textRotation="90" wrapText="1"/>
    </xf>
    <xf numFmtId="0" fontId="9" fillId="3" borderId="15" xfId="1" applyFont="1" applyFill="1" applyBorder="1" applyAlignment="1" applyProtection="1">
      <alignment horizontal="left" vertical="center" wrapText="1"/>
    </xf>
    <xf numFmtId="0" fontId="9" fillId="3" borderId="13" xfId="1" applyFont="1" applyFill="1" applyBorder="1" applyAlignment="1" applyProtection="1">
      <alignment horizontal="left" vertical="center" wrapText="1"/>
    </xf>
    <xf numFmtId="0" fontId="9" fillId="3" borderId="14" xfId="1" applyFont="1" applyFill="1" applyBorder="1" applyAlignment="1" applyProtection="1">
      <alignment horizontal="left" vertical="center" wrapText="1"/>
    </xf>
    <xf numFmtId="49" fontId="2" fillId="6" borderId="13" xfId="1" applyNumberFormat="1" applyFont="1" applyFill="1" applyBorder="1" applyAlignment="1" applyProtection="1">
      <alignment horizontal="center" vertical="center" wrapText="1"/>
    </xf>
    <xf numFmtId="3" fontId="10" fillId="6" borderId="13" xfId="1" applyNumberFormat="1" applyFont="1" applyFill="1" applyBorder="1" applyAlignment="1" applyProtection="1">
      <alignment horizontal="center" vertical="center" wrapText="1"/>
    </xf>
    <xf numFmtId="3" fontId="2" fillId="6" borderId="13" xfId="1" applyNumberFormat="1" applyFont="1" applyFill="1" applyBorder="1" applyAlignment="1" applyProtection="1">
      <alignment horizontal="center" vertical="center" wrapText="1"/>
    </xf>
    <xf numFmtId="0" fontId="9" fillId="7" borderId="2" xfId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 applyProtection="1">
      <alignment horizontal="center" vertical="center" wrapText="1"/>
    </xf>
    <xf numFmtId="0" fontId="9" fillId="7" borderId="15" xfId="1" applyFont="1" applyFill="1" applyBorder="1" applyAlignment="1" applyProtection="1">
      <alignment horizontal="center" vertical="center" wrapText="1"/>
    </xf>
    <xf numFmtId="0" fontId="9" fillId="7" borderId="13" xfId="1" applyFont="1" applyFill="1" applyBorder="1" applyAlignment="1" applyProtection="1">
      <alignment horizontal="center" vertical="center" wrapText="1"/>
    </xf>
    <xf numFmtId="0" fontId="9" fillId="7" borderId="14" xfId="1" applyFont="1" applyFill="1" applyBorder="1" applyAlignment="1" applyProtection="1">
      <alignment horizontal="center" vertical="center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0" fontId="9" fillId="7" borderId="10" xfId="1" applyFont="1" applyFill="1" applyBorder="1" applyAlignment="1" applyProtection="1">
      <alignment horizontal="center" vertical="center" textRotation="90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ti/Desktop/Nitin%20DGCA/Form%20A/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PivotTable"/>
      <sheetName val="Interface"/>
      <sheetName val="Data"/>
      <sheetName val="Sheet2"/>
      <sheetName val="Monthly_Template"/>
      <sheetName val="Sheet15"/>
      <sheetName val="DOMESTIC"/>
      <sheetName val="INTERNATIONAL"/>
    </sheetNames>
    <sheetDataSet>
      <sheetData sheetId="0"/>
      <sheetData sheetId="1"/>
      <sheetData sheetId="2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0" transitionEvaluation="1" transitionEntry="1" codeName="Sheet12"/>
  <dimension ref="A1:Q456"/>
  <sheetViews>
    <sheetView showGridLines="0" tabSelected="1" view="pageBreakPreview" topLeftCell="A10" zoomScale="115" zoomScaleNormal="85" zoomScaleSheetLayoutView="115" workbookViewId="0">
      <selection activeCell="A19" sqref="A19:Q19"/>
    </sheetView>
  </sheetViews>
  <sheetFormatPr defaultColWidth="9.7109375" defaultRowHeight="18.75" x14ac:dyDescent="0.3"/>
  <cols>
    <col min="1" max="1" width="10.42578125" style="8" customWidth="1"/>
    <col min="2" max="2" width="9.7109375" style="8" bestFit="1" customWidth="1"/>
    <col min="3" max="3" width="10.28515625" style="8" customWidth="1"/>
    <col min="4" max="4" width="10.85546875" style="8" customWidth="1"/>
    <col min="5" max="5" width="12.7109375" style="8" customWidth="1"/>
    <col min="6" max="6" width="12.42578125" style="8" customWidth="1"/>
    <col min="7" max="7" width="12.140625" style="8" customWidth="1"/>
    <col min="8" max="8" width="6.7109375" style="8" customWidth="1"/>
    <col min="9" max="9" width="11.28515625" style="8" bestFit="1" customWidth="1"/>
    <col min="10" max="10" width="9.42578125" style="8" bestFit="1" customWidth="1"/>
    <col min="11" max="11" width="11.28515625" style="8" bestFit="1" customWidth="1"/>
    <col min="12" max="12" width="12.85546875" style="8" bestFit="1" customWidth="1"/>
    <col min="13" max="13" width="11.28515625" style="8" bestFit="1" customWidth="1"/>
    <col min="14" max="14" width="9.140625" style="8" customWidth="1"/>
    <col min="15" max="15" width="12.85546875" style="8" bestFit="1" customWidth="1"/>
    <col min="16" max="16" width="14.85546875" style="8" customWidth="1"/>
    <col min="17" max="17" width="6.7109375" style="8" customWidth="1"/>
    <col min="18" max="16384" width="9.7109375" style="8"/>
  </cols>
  <sheetData>
    <row r="1" spans="1:17" ht="46.5" customHeight="1" x14ac:dyDescent="0.3">
      <c r="A1" s="91">
        <v>2021</v>
      </c>
      <c r="B1" s="91"/>
      <c r="C1" s="92" t="s">
        <v>36</v>
      </c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3"/>
      <c r="P1" s="93"/>
      <c r="Q1" s="93"/>
    </row>
    <row r="2" spans="1:17" ht="33" customHeight="1" x14ac:dyDescent="0.3">
      <c r="A2" s="94" t="s">
        <v>0</v>
      </c>
      <c r="B2" s="96" t="s">
        <v>1</v>
      </c>
      <c r="C2" s="97"/>
      <c r="D2" s="98"/>
      <c r="E2" s="99" t="s">
        <v>2</v>
      </c>
      <c r="F2" s="99" t="s">
        <v>3</v>
      </c>
      <c r="G2" s="99" t="s">
        <v>4</v>
      </c>
      <c r="H2" s="99" t="s">
        <v>5</v>
      </c>
      <c r="I2" s="96" t="s">
        <v>6</v>
      </c>
      <c r="J2" s="97"/>
      <c r="K2" s="98"/>
      <c r="L2" s="96" t="s">
        <v>7</v>
      </c>
      <c r="M2" s="97"/>
      <c r="N2" s="97"/>
      <c r="O2" s="98"/>
      <c r="P2" s="99" t="s">
        <v>8</v>
      </c>
      <c r="Q2" s="99" t="s">
        <v>9</v>
      </c>
    </row>
    <row r="3" spans="1:17" ht="155.25" customHeight="1" x14ac:dyDescent="0.3">
      <c r="A3" s="95"/>
      <c r="B3" s="9" t="s">
        <v>10</v>
      </c>
      <c r="C3" s="9" t="s">
        <v>11</v>
      </c>
      <c r="D3" s="9" t="s">
        <v>12</v>
      </c>
      <c r="E3" s="100"/>
      <c r="F3" s="100"/>
      <c r="G3" s="100"/>
      <c r="H3" s="100"/>
      <c r="I3" s="9" t="s">
        <v>13</v>
      </c>
      <c r="J3" s="10" t="s">
        <v>14</v>
      </c>
      <c r="K3" s="9" t="s">
        <v>15</v>
      </c>
      <c r="L3" s="9" t="s">
        <v>16</v>
      </c>
      <c r="M3" s="9" t="s">
        <v>17</v>
      </c>
      <c r="N3" s="9" t="s">
        <v>18</v>
      </c>
      <c r="O3" s="9" t="s">
        <v>19</v>
      </c>
      <c r="P3" s="100"/>
      <c r="Q3" s="100"/>
    </row>
    <row r="4" spans="1:17" ht="23.1" customHeight="1" x14ac:dyDescent="0.3">
      <c r="A4" s="11" t="s">
        <v>20</v>
      </c>
      <c r="B4" s="12">
        <v>67877</v>
      </c>
      <c r="C4" s="12">
        <v>120426.3</v>
      </c>
      <c r="D4" s="13">
        <v>64665.562400000003</v>
      </c>
      <c r="E4" s="80">
        <v>7704022</v>
      </c>
      <c r="F4" s="81">
        <v>7568902.449</v>
      </c>
      <c r="G4" s="81">
        <v>10933587.318</v>
      </c>
      <c r="H4" s="14">
        <f>IFERROR(F4/G4*100," ")</f>
        <v>69.226158157069733</v>
      </c>
      <c r="I4" s="15">
        <v>46811.352610000002</v>
      </c>
      <c r="J4" s="16">
        <v>2381.1937999999986</v>
      </c>
      <c r="K4" s="14">
        <f>IF(AND(ISBLANK(I4),ISBLANK(J4))=TRUE,"",I4+J4)</f>
        <v>49192.546410000003</v>
      </c>
      <c r="L4" s="84">
        <v>657349.63996664912</v>
      </c>
      <c r="M4" s="85">
        <v>53987.960888199996</v>
      </c>
      <c r="N4" s="85">
        <v>2233.88237527</v>
      </c>
      <c r="O4" s="14">
        <f>IF(AND(ISBLANK(L4),ISBLANK(M4),ISBLANK(N4))=TRUE,"",L4+M4+N4)</f>
        <v>713571.48323011911</v>
      </c>
      <c r="P4" s="85">
        <v>1148854.7156820004</v>
      </c>
      <c r="Q4" s="14">
        <f>IFERROR(O4/P4*100," ")</f>
        <v>62.111551050780001</v>
      </c>
    </row>
    <row r="5" spans="1:17" ht="23.1" customHeight="1" x14ac:dyDescent="0.3">
      <c r="A5" s="17" t="s">
        <v>21</v>
      </c>
      <c r="B5" s="18">
        <v>64327</v>
      </c>
      <c r="C5" s="18">
        <v>113903.50666666667</v>
      </c>
      <c r="D5" s="17">
        <v>60788.152387096772</v>
      </c>
      <c r="E5" s="82">
        <v>7795243</v>
      </c>
      <c r="F5" s="83">
        <v>7658045.6039999984</v>
      </c>
      <c r="G5" s="83">
        <v>10231200.894000001</v>
      </c>
      <c r="H5" s="20">
        <f t="shared" ref="H5:H9" si="0">IFERROR(F5/G5*100," ")</f>
        <v>74.849919216140037</v>
      </c>
      <c r="I5" s="21">
        <v>47951.69501000001</v>
      </c>
      <c r="J5" s="22">
        <v>2313.2653799999994</v>
      </c>
      <c r="K5" s="20">
        <f t="shared" ref="K5:K16" si="1">IF(AND(ISBLANK(I5),ISBLANK(J5))=TRUE,"",I5+J5)</f>
        <v>50264.960390000007</v>
      </c>
      <c r="L5" s="86">
        <v>669831.39605657058</v>
      </c>
      <c r="M5" s="87">
        <v>54914.036119119999</v>
      </c>
      <c r="N5" s="87">
        <v>2113.81921852</v>
      </c>
      <c r="O5" s="20">
        <f t="shared" ref="O5:O16" si="2">IF(AND(ISBLANK(L5),ISBLANK(M5),ISBLANK(N5))=TRUE,"",L5+M5+N5)</f>
        <v>726859.2513942105</v>
      </c>
      <c r="P5" s="87">
        <v>1079400.046101999</v>
      </c>
      <c r="Q5" s="20">
        <f t="shared" ref="Q5:Q9" si="3">IFERROR(O5/P5*100," ")</f>
        <v>67.339190323281244</v>
      </c>
    </row>
    <row r="6" spans="1:17" ht="23.1" customHeight="1" x14ac:dyDescent="0.3">
      <c r="A6" s="23" t="s">
        <v>22</v>
      </c>
      <c r="B6" s="24">
        <v>71458</v>
      </c>
      <c r="C6" s="24">
        <v>125840.27333333332</v>
      </c>
      <c r="D6" s="23">
        <v>67593.196795698925</v>
      </c>
      <c r="E6" s="25">
        <v>7787310</v>
      </c>
      <c r="F6" s="24">
        <v>7724907.2850000001</v>
      </c>
      <c r="G6" s="24">
        <v>11340569.399</v>
      </c>
      <c r="H6" s="26">
        <f t="shared" si="0"/>
        <v>68.117455245952414</v>
      </c>
      <c r="I6" s="27">
        <v>53030.133009999998</v>
      </c>
      <c r="J6" s="28">
        <v>2312.999890000001</v>
      </c>
      <c r="K6" s="26">
        <f t="shared" si="1"/>
        <v>55343.132899999997</v>
      </c>
      <c r="L6" s="27">
        <v>671541.67151199991</v>
      </c>
      <c r="M6" s="28">
        <v>60337.929241000005</v>
      </c>
      <c r="N6" s="28">
        <v>2246.3391228699998</v>
      </c>
      <c r="O6" s="26">
        <f t="shared" si="2"/>
        <v>734125.9398758699</v>
      </c>
      <c r="P6" s="28">
        <v>1198563.854652998</v>
      </c>
      <c r="Q6" s="26">
        <f t="shared" si="3"/>
        <v>61.250465465472445</v>
      </c>
    </row>
    <row r="7" spans="1:17" ht="23.1" customHeight="1" x14ac:dyDescent="0.3">
      <c r="A7" s="17" t="s">
        <v>23</v>
      </c>
      <c r="B7" s="18">
        <v>59967</v>
      </c>
      <c r="C7" s="18">
        <v>104910.09633333332</v>
      </c>
      <c r="D7" s="17">
        <v>57652.870999999992</v>
      </c>
      <c r="E7" s="19">
        <v>5647434</v>
      </c>
      <c r="F7" s="18">
        <v>5728118.7800000003</v>
      </c>
      <c r="G7" s="18">
        <v>9575037.0950000007</v>
      </c>
      <c r="H7" s="20">
        <f t="shared" si="0"/>
        <v>59.823463065131868</v>
      </c>
      <c r="I7" s="21">
        <v>47905.847070000011</v>
      </c>
      <c r="J7" s="22">
        <v>1901.92425</v>
      </c>
      <c r="K7" s="20">
        <f t="shared" si="1"/>
        <v>49807.771320000014</v>
      </c>
      <c r="L7" s="21">
        <v>498046.38657000003</v>
      </c>
      <c r="M7" s="22">
        <v>54427.009805309986</v>
      </c>
      <c r="N7" s="22">
        <v>1857.0514541499999</v>
      </c>
      <c r="O7" s="20">
        <f t="shared" si="2"/>
        <v>554330.44782946003</v>
      </c>
      <c r="P7" s="22">
        <v>1018396.959302</v>
      </c>
      <c r="Q7" s="20">
        <f t="shared" si="3"/>
        <v>54.431667609199565</v>
      </c>
    </row>
    <row r="8" spans="1:17" s="29" customFormat="1" ht="30" customHeight="1" x14ac:dyDescent="0.25">
      <c r="A8" s="23" t="s">
        <v>24</v>
      </c>
      <c r="B8" s="24">
        <v>27725</v>
      </c>
      <c r="C8" s="24">
        <v>47577.020000000004</v>
      </c>
      <c r="D8" s="23">
        <v>27134.613000000001</v>
      </c>
      <c r="E8" s="25">
        <v>2037372</v>
      </c>
      <c r="F8" s="24">
        <v>2048225.8829999997</v>
      </c>
      <c r="G8" s="24">
        <v>4155486.1319999998</v>
      </c>
      <c r="H8" s="26">
        <f t="shared" si="0"/>
        <v>49.289681590495555</v>
      </c>
      <c r="I8" s="27">
        <v>34618.054200000021</v>
      </c>
      <c r="J8" s="28">
        <v>1282.0685000000008</v>
      </c>
      <c r="K8" s="26">
        <f t="shared" ref="K8:K9" si="4">IF(AND(ISBLANK(I8),ISBLANK(J8))=TRUE,"",I8+J8)</f>
        <v>35900.122700000022</v>
      </c>
      <c r="L8" s="27">
        <v>179235.64105800001</v>
      </c>
      <c r="M8" s="28">
        <v>39437.53024261001</v>
      </c>
      <c r="N8" s="28">
        <v>1230.4791340000002</v>
      </c>
      <c r="O8" s="26">
        <f t="shared" ref="O8:O9" si="5">IF(AND(ISBLANK(L8),ISBLANK(M8),ISBLANK(N8))=TRUE,"",L8+M8+N8)</f>
        <v>219903.65043461</v>
      </c>
      <c r="P8" s="28">
        <v>450263.43090100103</v>
      </c>
      <c r="Q8" s="26">
        <f t="shared" si="3"/>
        <v>48.838887491833638</v>
      </c>
    </row>
    <row r="9" spans="1:17" ht="23.1" customHeight="1" x14ac:dyDescent="0.3">
      <c r="A9" s="17" t="s">
        <v>25</v>
      </c>
      <c r="B9" s="18">
        <v>31693</v>
      </c>
      <c r="C9" s="18">
        <v>54456.776666666672</v>
      </c>
      <c r="D9" s="17">
        <v>30298.538</v>
      </c>
      <c r="E9" s="19">
        <v>3028643</v>
      </c>
      <c r="F9" s="18">
        <v>2923512.6180000002</v>
      </c>
      <c r="G9" s="18">
        <v>4658811.8820000002</v>
      </c>
      <c r="H9" s="20">
        <f t="shared" si="0"/>
        <v>62.752321665861167</v>
      </c>
      <c r="I9" s="21">
        <v>38829.373800000001</v>
      </c>
      <c r="J9" s="22">
        <v>1588.8635000000008</v>
      </c>
      <c r="K9" s="20">
        <f t="shared" si="4"/>
        <v>40418.237300000001</v>
      </c>
      <c r="L9" s="21">
        <v>256137.73867100003</v>
      </c>
      <c r="M9" s="22">
        <v>45727.902811690008</v>
      </c>
      <c r="N9" s="22">
        <v>1536.7306570000001</v>
      </c>
      <c r="O9" s="20">
        <f t="shared" si="5"/>
        <v>303402.37213969004</v>
      </c>
      <c r="P9" s="22">
        <v>504022.18998800003</v>
      </c>
      <c r="Q9" s="20">
        <f t="shared" si="3"/>
        <v>60.196233056110792</v>
      </c>
    </row>
    <row r="10" spans="1:17" ht="23.1" customHeight="1" x14ac:dyDescent="0.3">
      <c r="A10" s="23" t="s">
        <v>26</v>
      </c>
      <c r="B10" s="24">
        <v>47692</v>
      </c>
      <c r="C10" s="24">
        <v>80539.23000000001</v>
      </c>
      <c r="D10" s="23">
        <v>44342.445299999999</v>
      </c>
      <c r="E10" s="25">
        <v>4897664</v>
      </c>
      <c r="F10" s="24">
        <v>4702876.165000001</v>
      </c>
      <c r="G10" s="24">
        <v>7075920.7999999989</v>
      </c>
      <c r="H10" s="26">
        <f t="shared" ref="H10:H16" si="6">IFERROR(F10/G10*100," ")</f>
        <v>66.463097848692726</v>
      </c>
      <c r="I10" s="27">
        <v>45700.885780000026</v>
      </c>
      <c r="J10" s="28">
        <v>1998.1855</v>
      </c>
      <c r="K10" s="26">
        <f t="shared" si="1"/>
        <v>47699.071280000026</v>
      </c>
      <c r="L10" s="27">
        <v>411759.67215100001</v>
      </c>
      <c r="M10" s="28">
        <v>53474.878789520008</v>
      </c>
      <c r="N10" s="28">
        <v>2020.4476185000001</v>
      </c>
      <c r="O10" s="26">
        <f t="shared" si="2"/>
        <v>467254.99855901999</v>
      </c>
      <c r="P10" s="28">
        <v>783759.8672690012</v>
      </c>
      <c r="Q10" s="26">
        <f t="shared" ref="Q10:Q16" si="7">IFERROR(O10/P10*100," ")</f>
        <v>59.61711208653265</v>
      </c>
    </row>
    <row r="11" spans="1:17" ht="23.1" customHeight="1" x14ac:dyDescent="0.3">
      <c r="A11" s="17" t="s">
        <v>27</v>
      </c>
      <c r="B11" s="18">
        <v>58101</v>
      </c>
      <c r="C11" s="18">
        <v>98409.26999999999</v>
      </c>
      <c r="D11" s="17">
        <v>54053.971600000004</v>
      </c>
      <c r="E11" s="19">
        <v>6544056</v>
      </c>
      <c r="F11" s="18">
        <v>6263456.7300000004</v>
      </c>
      <c r="G11" s="18">
        <v>8700658.3300000001</v>
      </c>
      <c r="H11" s="20">
        <f t="shared" si="6"/>
        <v>71.988308153688877</v>
      </c>
      <c r="I11" s="21">
        <v>50342.357870000014</v>
      </c>
      <c r="J11" s="22">
        <v>2074.4864000000016</v>
      </c>
      <c r="K11" s="20">
        <f t="shared" si="1"/>
        <v>52416.844270000016</v>
      </c>
      <c r="L11" s="21">
        <v>543359.86279999989</v>
      </c>
      <c r="M11" s="22">
        <v>61081.972257400004</v>
      </c>
      <c r="N11" s="22">
        <v>2101.8968537999999</v>
      </c>
      <c r="O11" s="20">
        <f t="shared" si="2"/>
        <v>606543.73191119998</v>
      </c>
      <c r="P11" s="22">
        <v>963323.73754700006</v>
      </c>
      <c r="Q11" s="20">
        <f t="shared" si="7"/>
        <v>62.963644335776273</v>
      </c>
    </row>
    <row r="12" spans="1:17" ht="23.1" customHeight="1" x14ac:dyDescent="0.3">
      <c r="A12" s="23" t="s">
        <v>28</v>
      </c>
      <c r="B12" s="24">
        <v>61514</v>
      </c>
      <c r="C12" s="24">
        <v>104485.03666666665</v>
      </c>
      <c r="D12" s="23">
        <v>56781.245999999999</v>
      </c>
      <c r="E12" s="25">
        <v>6891878</v>
      </c>
      <c r="F12" s="24">
        <v>6577718.6359999999</v>
      </c>
      <c r="G12" s="24">
        <v>9095916.092000002</v>
      </c>
      <c r="H12" s="26">
        <f t="shared" si="6"/>
        <v>72.315076012906545</v>
      </c>
      <c r="I12" s="27">
        <v>52296.967969999991</v>
      </c>
      <c r="J12" s="28">
        <v>2075.3187140790697</v>
      </c>
      <c r="K12" s="26">
        <f t="shared" si="1"/>
        <v>54372.286684079059</v>
      </c>
      <c r="L12" s="27">
        <v>570017.42229500005</v>
      </c>
      <c r="M12" s="28">
        <v>62791.901711519997</v>
      </c>
      <c r="N12" s="28">
        <v>2203.5228772930132</v>
      </c>
      <c r="O12" s="26">
        <f t="shared" si="2"/>
        <v>635012.84688381315</v>
      </c>
      <c r="P12" s="28">
        <v>1006034.7094780001</v>
      </c>
      <c r="Q12" s="26">
        <f t="shared" si="7"/>
        <v>63.120371583730098</v>
      </c>
    </row>
    <row r="13" spans="1:17" ht="23.1" customHeight="1" x14ac:dyDescent="0.3">
      <c r="A13" s="17" t="s">
        <v>29</v>
      </c>
      <c r="B13" s="18">
        <v>72491</v>
      </c>
      <c r="C13" s="18">
        <v>117610.84666666666</v>
      </c>
      <c r="D13" s="17">
        <v>67690.728000000003</v>
      </c>
      <c r="E13" s="19">
        <v>8784144</v>
      </c>
      <c r="F13" s="18">
        <v>8513938.1040000003</v>
      </c>
      <c r="G13" s="18">
        <v>11031288.355</v>
      </c>
      <c r="H13" s="20">
        <f t="shared" si="6"/>
        <v>77.179907097079962</v>
      </c>
      <c r="I13" s="21">
        <v>56495.971900000004</v>
      </c>
      <c r="J13" s="22">
        <v>1864.6443054042195</v>
      </c>
      <c r="K13" s="20">
        <f t="shared" si="1"/>
        <v>58360.616205404222</v>
      </c>
      <c r="L13" s="21">
        <v>743977.10571699892</v>
      </c>
      <c r="M13" s="22">
        <v>68981.995773400005</v>
      </c>
      <c r="N13" s="22">
        <v>2047.2756835000002</v>
      </c>
      <c r="O13" s="20">
        <f t="shared" si="2"/>
        <v>815006.37717389886</v>
      </c>
      <c r="P13" s="22">
        <v>1210735.4031240009</v>
      </c>
      <c r="Q13" s="20">
        <f t="shared" si="7"/>
        <v>67.3149868312249</v>
      </c>
    </row>
    <row r="14" spans="1:17" ht="23.1" customHeight="1" x14ac:dyDescent="0.3">
      <c r="A14" s="23" t="s">
        <v>30</v>
      </c>
      <c r="B14" s="24">
        <v>81620</v>
      </c>
      <c r="C14" s="24">
        <v>133035.35999999999</v>
      </c>
      <c r="D14" s="23">
        <v>76810.933000000005</v>
      </c>
      <c r="E14" s="25">
        <v>10471234</v>
      </c>
      <c r="F14" s="24">
        <v>10165303.98</v>
      </c>
      <c r="G14" s="24">
        <v>12698682.191999998</v>
      </c>
      <c r="H14" s="26">
        <f t="shared" si="6"/>
        <v>80.050069970284071</v>
      </c>
      <c r="I14" s="27">
        <v>49394.563470000008</v>
      </c>
      <c r="J14" s="28">
        <v>2209.2863162819867</v>
      </c>
      <c r="K14" s="26">
        <f t="shared" si="1"/>
        <v>51603.849786281993</v>
      </c>
      <c r="L14" s="27">
        <v>889520.27621499996</v>
      </c>
      <c r="M14" s="28">
        <v>60025.807635699995</v>
      </c>
      <c r="N14" s="28">
        <v>2465.4488091119201</v>
      </c>
      <c r="O14" s="26">
        <f t="shared" si="2"/>
        <v>952011.5326598119</v>
      </c>
      <c r="P14" s="28">
        <v>1624858.9444339972</v>
      </c>
      <c r="Q14" s="26">
        <f t="shared" si="7"/>
        <v>58.590410935112601</v>
      </c>
    </row>
    <row r="15" spans="1:17" ht="23.1" customHeight="1" x14ac:dyDescent="0.3">
      <c r="A15" s="30" t="s">
        <v>31</v>
      </c>
      <c r="B15" s="31">
        <v>87258</v>
      </c>
      <c r="C15" s="31">
        <v>152340.79666666666</v>
      </c>
      <c r="D15" s="32">
        <v>82148.040999999997</v>
      </c>
      <c r="E15" s="33">
        <v>11156079</v>
      </c>
      <c r="F15" s="31">
        <v>10816546.432</v>
      </c>
      <c r="G15" s="31">
        <v>13602345.165000001</v>
      </c>
      <c r="H15" s="34">
        <f t="shared" si="6"/>
        <v>79.519717378087861</v>
      </c>
      <c r="I15" s="35">
        <v>55523.45153999998</v>
      </c>
      <c r="J15" s="36">
        <v>2398.5826647296408</v>
      </c>
      <c r="K15" s="34">
        <f t="shared" si="1"/>
        <v>57922.034204729622</v>
      </c>
      <c r="L15" s="35">
        <v>943982.36730100098</v>
      </c>
      <c r="M15" s="36">
        <v>67329.576805789999</v>
      </c>
      <c r="N15" s="36">
        <v>2640.5725138279349</v>
      </c>
      <c r="O15" s="34">
        <f t="shared" si="2"/>
        <v>1013952.5166206189</v>
      </c>
      <c r="P15" s="22">
        <v>1485802.3581480011</v>
      </c>
      <c r="Q15" s="20">
        <f t="shared" si="7"/>
        <v>68.242758605153512</v>
      </c>
    </row>
    <row r="16" spans="1:17" ht="23.1" customHeight="1" x14ac:dyDescent="0.3">
      <c r="A16" s="37" t="s">
        <v>32</v>
      </c>
      <c r="B16" s="38">
        <f t="shared" ref="B16:G16" si="8">SUM(B4:B15)</f>
        <v>731723</v>
      </c>
      <c r="C16" s="38">
        <f t="shared" si="8"/>
        <v>1253534.513</v>
      </c>
      <c r="D16" s="38">
        <f t="shared" si="8"/>
        <v>689960.2984827956</v>
      </c>
      <c r="E16" s="38">
        <f t="shared" si="8"/>
        <v>82745079</v>
      </c>
      <c r="F16" s="38">
        <f t="shared" si="8"/>
        <v>80691552.665999994</v>
      </c>
      <c r="G16" s="38">
        <f t="shared" si="8"/>
        <v>113099503.65400001</v>
      </c>
      <c r="H16" s="39">
        <f t="shared" si="6"/>
        <v>71.345629343216103</v>
      </c>
      <c r="I16" s="39">
        <f>SUM(I4:I15)</f>
        <v>578900.65422999999</v>
      </c>
      <c r="J16" s="39">
        <f>SUM(J4:J15)</f>
        <v>24400.819220494923</v>
      </c>
      <c r="K16" s="39">
        <f t="shared" si="1"/>
        <v>603301.47345049493</v>
      </c>
      <c r="L16" s="39">
        <f>SUM(L4:L15)</f>
        <v>7034759.1803132193</v>
      </c>
      <c r="M16" s="39">
        <f>SUM(M4:M15)</f>
        <v>682518.50208125997</v>
      </c>
      <c r="N16" s="39">
        <f>SUM(N4:N15)</f>
        <v>24697.466317842867</v>
      </c>
      <c r="O16" s="39">
        <f t="shared" si="2"/>
        <v>7741975.1487123221</v>
      </c>
      <c r="P16" s="40">
        <f>SUM(P4:P15)</f>
        <v>12474016.216627998</v>
      </c>
      <c r="Q16" s="40">
        <f t="shared" si="7"/>
        <v>62.064815487350302</v>
      </c>
    </row>
    <row r="17" spans="1:17" ht="20.100000000000001" customHeight="1" x14ac:dyDescent="0.3">
      <c r="A17" s="101" t="s">
        <v>37</v>
      </c>
      <c r="B17" s="10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3"/>
    </row>
    <row r="18" spans="1:17" s="41" customFormat="1" x14ac:dyDescent="0.25">
      <c r="A18" s="88" t="s">
        <v>33</v>
      </c>
      <c r="B18" s="89"/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90"/>
    </row>
    <row r="19" spans="1:17" s="41" customFormat="1" x14ac:dyDescent="0.25">
      <c r="A19" s="88" t="s">
        <v>34</v>
      </c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90"/>
    </row>
    <row r="20" spans="1:17" ht="51.75" customHeight="1" x14ac:dyDescent="0.3">
      <c r="A20" s="104">
        <v>2021</v>
      </c>
      <c r="B20" s="104"/>
      <c r="C20" s="105" t="s">
        <v>38</v>
      </c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6"/>
      <c r="P20" s="106"/>
      <c r="Q20" s="106"/>
    </row>
    <row r="21" spans="1:17" ht="33" customHeight="1" x14ac:dyDescent="0.3">
      <c r="A21" s="107" t="s">
        <v>0</v>
      </c>
      <c r="B21" s="109" t="s">
        <v>1</v>
      </c>
      <c r="C21" s="110"/>
      <c r="D21" s="111"/>
      <c r="E21" s="112" t="s">
        <v>2</v>
      </c>
      <c r="F21" s="112" t="s">
        <v>3</v>
      </c>
      <c r="G21" s="112" t="s">
        <v>4</v>
      </c>
      <c r="H21" s="112" t="s">
        <v>5</v>
      </c>
      <c r="I21" s="109" t="s">
        <v>6</v>
      </c>
      <c r="J21" s="110"/>
      <c r="K21" s="111"/>
      <c r="L21" s="109" t="s">
        <v>7</v>
      </c>
      <c r="M21" s="110"/>
      <c r="N21" s="110"/>
      <c r="O21" s="111"/>
      <c r="P21" s="112" t="s">
        <v>8</v>
      </c>
      <c r="Q21" s="112" t="s">
        <v>9</v>
      </c>
    </row>
    <row r="22" spans="1:17" ht="150.75" customHeight="1" x14ac:dyDescent="0.3">
      <c r="A22" s="108"/>
      <c r="B22" s="42" t="s">
        <v>10</v>
      </c>
      <c r="C22" s="42" t="s">
        <v>11</v>
      </c>
      <c r="D22" s="42" t="s">
        <v>12</v>
      </c>
      <c r="E22" s="113"/>
      <c r="F22" s="113"/>
      <c r="G22" s="113"/>
      <c r="H22" s="113"/>
      <c r="I22" s="42" t="s">
        <v>13</v>
      </c>
      <c r="J22" s="43" t="s">
        <v>14</v>
      </c>
      <c r="K22" s="42" t="s">
        <v>15</v>
      </c>
      <c r="L22" s="42" t="s">
        <v>16</v>
      </c>
      <c r="M22" s="42" t="s">
        <v>17</v>
      </c>
      <c r="N22" s="42" t="s">
        <v>18</v>
      </c>
      <c r="O22" s="42" t="s">
        <v>19</v>
      </c>
      <c r="P22" s="113"/>
      <c r="Q22" s="113"/>
    </row>
    <row r="23" spans="1:17" ht="23.1" customHeight="1" x14ac:dyDescent="0.3">
      <c r="A23" s="1" t="s">
        <v>20</v>
      </c>
      <c r="B23" s="44">
        <v>1391</v>
      </c>
      <c r="C23" s="45">
        <v>2446.8016666666663</v>
      </c>
      <c r="D23" s="46">
        <v>1351.7280000000001</v>
      </c>
      <c r="E23" s="44">
        <v>44175</v>
      </c>
      <c r="F23" s="45">
        <v>27647.525000000001</v>
      </c>
      <c r="G23" s="45">
        <v>46707.416999999994</v>
      </c>
      <c r="H23" s="47">
        <f t="shared" ref="H23:H35" si="9">IFERROR(F23/G23*100," ")</f>
        <v>59.193007825716428</v>
      </c>
      <c r="I23" s="48">
        <v>5023.2180928000016</v>
      </c>
      <c r="J23" s="49"/>
      <c r="K23" s="47">
        <f>IF(AND(ISBLANK(I23),ISBLANK(J23))=TRUE,"",I23+J23)</f>
        <v>5023.2180928000016</v>
      </c>
      <c r="L23" s="48">
        <v>2027.6636980000003</v>
      </c>
      <c r="M23" s="49">
        <v>5708.9268511900009</v>
      </c>
      <c r="N23" s="49"/>
      <c r="O23" s="47">
        <f>IF(AND(ISBLANK(L23),ISBLANK(M23),ISBLANK(N23))=TRUE,"",L23+M23+N23)</f>
        <v>7736.5905491900012</v>
      </c>
      <c r="P23" s="48">
        <v>20420.528223999998</v>
      </c>
      <c r="Q23" s="47">
        <f>IFERROR(O23/P23*100," ")</f>
        <v>37.886339003206004</v>
      </c>
    </row>
    <row r="24" spans="1:17" ht="23.1" customHeight="1" x14ac:dyDescent="0.3">
      <c r="A24" s="50" t="s">
        <v>21</v>
      </c>
      <c r="B24" s="51">
        <v>1421</v>
      </c>
      <c r="C24" s="52">
        <v>2450.1663333333331</v>
      </c>
      <c r="D24" s="53">
        <v>1386.9079999999999</v>
      </c>
      <c r="E24" s="51">
        <v>47107</v>
      </c>
      <c r="F24" s="52">
        <v>28822.368000000002</v>
      </c>
      <c r="G24" s="52">
        <v>43483.665999999997</v>
      </c>
      <c r="H24" s="54">
        <f t="shared" si="9"/>
        <v>66.283206204371098</v>
      </c>
      <c r="I24" s="55">
        <v>5714.7437899999968</v>
      </c>
      <c r="J24" s="56"/>
      <c r="K24" s="54">
        <f t="shared" ref="K24:K35" si="10">IF(AND(ISBLANK(I24),ISBLANK(J24))=TRUE,"",I24+J24)</f>
        <v>5714.7437899999968</v>
      </c>
      <c r="L24" s="55">
        <v>2522.3030610000001</v>
      </c>
      <c r="M24" s="56">
        <v>6312.50997955</v>
      </c>
      <c r="N24" s="56"/>
      <c r="O24" s="54">
        <f t="shared" ref="O24:O35" si="11">IF(AND(ISBLANK(L24),ISBLANK(M24),ISBLANK(N24))=TRUE,"",L24+M24+N24)</f>
        <v>8834.8130405499996</v>
      </c>
      <c r="P24" s="55">
        <v>21412.337721</v>
      </c>
      <c r="Q24" s="54">
        <f t="shared" ref="Q24:Q35" si="12">IFERROR(O24/P24*100," ")</f>
        <v>41.260385277247515</v>
      </c>
    </row>
    <row r="25" spans="1:17" ht="23.1" customHeight="1" x14ac:dyDescent="0.3">
      <c r="A25" s="1" t="s">
        <v>22</v>
      </c>
      <c r="B25" s="57">
        <v>1696</v>
      </c>
      <c r="C25" s="58">
        <v>3018.47</v>
      </c>
      <c r="D25" s="59">
        <v>1703.1150000000002</v>
      </c>
      <c r="E25" s="57">
        <v>46015</v>
      </c>
      <c r="F25" s="58">
        <v>28294.495999999999</v>
      </c>
      <c r="G25" s="58">
        <v>42481.439999999995</v>
      </c>
      <c r="H25" s="5">
        <f t="shared" si="9"/>
        <v>66.604371226587432</v>
      </c>
      <c r="I25" s="60">
        <v>6514.8625999999958</v>
      </c>
      <c r="J25" s="61"/>
      <c r="K25" s="5">
        <f t="shared" si="10"/>
        <v>6514.8625999999958</v>
      </c>
      <c r="L25" s="60">
        <v>2568.9906600000004</v>
      </c>
      <c r="M25" s="61">
        <v>7180.8550943700002</v>
      </c>
      <c r="N25" s="61"/>
      <c r="O25" s="5">
        <f t="shared" si="11"/>
        <v>9749.8457543700006</v>
      </c>
      <c r="P25" s="60">
        <v>26137.079806000002</v>
      </c>
      <c r="Q25" s="5">
        <f t="shared" si="12"/>
        <v>37.302735526452487</v>
      </c>
    </row>
    <row r="26" spans="1:17" ht="23.1" customHeight="1" x14ac:dyDescent="0.3">
      <c r="A26" s="50" t="s">
        <v>23</v>
      </c>
      <c r="B26" s="51">
        <v>1513</v>
      </c>
      <c r="C26" s="52">
        <v>2528.2883333333334</v>
      </c>
      <c r="D26" s="53">
        <v>1651.4</v>
      </c>
      <c r="E26" s="51">
        <v>44932</v>
      </c>
      <c r="F26" s="52">
        <v>33097.78</v>
      </c>
      <c r="G26" s="52">
        <v>81590.665999999997</v>
      </c>
      <c r="H26" s="54">
        <f t="shared" si="9"/>
        <v>40.5656450947465</v>
      </c>
      <c r="I26" s="55">
        <v>5969.969890000003</v>
      </c>
      <c r="J26" s="56"/>
      <c r="K26" s="54">
        <f t="shared" si="10"/>
        <v>5969.969890000003</v>
      </c>
      <c r="L26" s="55">
        <v>3200.1537130000006</v>
      </c>
      <c r="M26" s="56">
        <v>6780.4363014199998</v>
      </c>
      <c r="N26" s="56"/>
      <c r="O26" s="54">
        <f t="shared" si="11"/>
        <v>9980.5900144200004</v>
      </c>
      <c r="P26" s="55">
        <v>26953.714274999998</v>
      </c>
      <c r="Q26" s="54">
        <f t="shared" si="12"/>
        <v>37.028625860581883</v>
      </c>
    </row>
    <row r="27" spans="1:17" s="29" customFormat="1" ht="30" customHeight="1" x14ac:dyDescent="0.25">
      <c r="A27" s="1" t="s">
        <v>24</v>
      </c>
      <c r="B27" s="57">
        <v>1829</v>
      </c>
      <c r="C27" s="62">
        <v>3119.2100000000005</v>
      </c>
      <c r="D27" s="59">
        <v>2200.404</v>
      </c>
      <c r="E27" s="57">
        <v>27576</v>
      </c>
      <c r="F27" s="58">
        <v>17742.883999999998</v>
      </c>
      <c r="G27" s="58">
        <v>110326.768</v>
      </c>
      <c r="H27" s="5">
        <f t="shared" si="9"/>
        <v>16.082120705285231</v>
      </c>
      <c r="I27" s="60">
        <v>10121.213819999994</v>
      </c>
      <c r="J27" s="61"/>
      <c r="K27" s="5">
        <f t="shared" si="10"/>
        <v>10121.213819999994</v>
      </c>
      <c r="L27" s="60">
        <v>1618.8234739999998</v>
      </c>
      <c r="M27" s="61">
        <v>12754.768662059982</v>
      </c>
      <c r="N27" s="61"/>
      <c r="O27" s="5">
        <f t="shared" si="11"/>
        <v>14373.592136059982</v>
      </c>
      <c r="P27" s="60">
        <v>38800.671378000006</v>
      </c>
      <c r="Q27" s="5">
        <f t="shared" si="12"/>
        <v>37.044699551796448</v>
      </c>
    </row>
    <row r="28" spans="1:17" ht="23.1" customHeight="1" x14ac:dyDescent="0.3">
      <c r="A28" s="50" t="s">
        <v>25</v>
      </c>
      <c r="B28" s="63">
        <v>1544</v>
      </c>
      <c r="C28" s="64">
        <v>2780.5099999999998</v>
      </c>
      <c r="D28" s="53">
        <v>1881.1610000000001</v>
      </c>
      <c r="E28" s="63">
        <v>38807</v>
      </c>
      <c r="F28" s="64">
        <v>24738.55</v>
      </c>
      <c r="G28" s="64">
        <v>97243.237000000008</v>
      </c>
      <c r="H28" s="54">
        <f t="shared" si="9"/>
        <v>25.439866836189335</v>
      </c>
      <c r="I28" s="65">
        <v>8874.6209999999992</v>
      </c>
      <c r="J28" s="66">
        <v>47</v>
      </c>
      <c r="K28" s="54">
        <f t="shared" si="10"/>
        <v>8921.6209999999992</v>
      </c>
      <c r="L28" s="65">
        <v>1831.9447350000003</v>
      </c>
      <c r="M28" s="66">
        <v>11305.82266111</v>
      </c>
      <c r="N28" s="66">
        <v>52.08</v>
      </c>
      <c r="O28" s="54">
        <f t="shared" si="11"/>
        <v>13189.847396110001</v>
      </c>
      <c r="P28" s="65">
        <v>30302.151089999999</v>
      </c>
      <c r="Q28" s="54">
        <f t="shared" si="12"/>
        <v>43.527759322877827</v>
      </c>
    </row>
    <row r="29" spans="1:17" ht="23.1" customHeight="1" x14ac:dyDescent="0.3">
      <c r="A29" s="1" t="s">
        <v>26</v>
      </c>
      <c r="B29" s="2">
        <v>1936</v>
      </c>
      <c r="C29" s="3">
        <v>3630.563333333333</v>
      </c>
      <c r="D29" s="4">
        <v>2245.0878000000002</v>
      </c>
      <c r="E29" s="2">
        <v>59545</v>
      </c>
      <c r="F29" s="3">
        <v>44085.2716</v>
      </c>
      <c r="G29" s="3">
        <v>123276.4804</v>
      </c>
      <c r="H29" s="5">
        <f t="shared" si="9"/>
        <v>35.761299687462525</v>
      </c>
      <c r="I29" s="6">
        <v>10165.575539999998</v>
      </c>
      <c r="J29" s="7">
        <v>39.744</v>
      </c>
      <c r="K29" s="5">
        <f t="shared" si="10"/>
        <v>10205.319539999999</v>
      </c>
      <c r="L29" s="6">
        <v>3404.1995249999991</v>
      </c>
      <c r="M29" s="7">
        <v>13079.71444866001</v>
      </c>
      <c r="N29" s="7">
        <v>61</v>
      </c>
      <c r="O29" s="5">
        <f t="shared" si="11"/>
        <v>16544.913973660008</v>
      </c>
      <c r="P29" s="6">
        <v>36234.909812000005</v>
      </c>
      <c r="Q29" s="5">
        <f t="shared" si="12"/>
        <v>45.660149451181439</v>
      </c>
    </row>
    <row r="30" spans="1:17" ht="23.1" customHeight="1" x14ac:dyDescent="0.3">
      <c r="A30" s="50" t="s">
        <v>27</v>
      </c>
      <c r="B30" s="63">
        <v>1665</v>
      </c>
      <c r="C30" s="64">
        <v>3075.7866666666664</v>
      </c>
      <c r="D30" s="67">
        <v>2029.7050000000002</v>
      </c>
      <c r="E30" s="63">
        <v>68322</v>
      </c>
      <c r="F30" s="64">
        <v>49723.937000000005</v>
      </c>
      <c r="G30" s="64">
        <v>129801.648</v>
      </c>
      <c r="H30" s="54">
        <f t="shared" si="9"/>
        <v>38.307631502490636</v>
      </c>
      <c r="I30" s="65">
        <v>8665.9371899999951</v>
      </c>
      <c r="J30" s="66">
        <v>33.027000000000001</v>
      </c>
      <c r="K30" s="54">
        <f t="shared" si="10"/>
        <v>8698.9641899999951</v>
      </c>
      <c r="L30" s="65">
        <v>3777.030366</v>
      </c>
      <c r="M30" s="66">
        <v>11178.465139920001</v>
      </c>
      <c r="N30" s="66">
        <v>49</v>
      </c>
      <c r="O30" s="54">
        <f t="shared" si="11"/>
        <v>15004.49550592</v>
      </c>
      <c r="P30" s="65">
        <v>31400.534004999998</v>
      </c>
      <c r="Q30" s="54">
        <f t="shared" si="12"/>
        <v>47.784204891326979</v>
      </c>
    </row>
    <row r="31" spans="1:17" ht="23.1" customHeight="1" x14ac:dyDescent="0.3">
      <c r="A31" s="1" t="s">
        <v>28</v>
      </c>
      <c r="B31" s="2">
        <v>1549</v>
      </c>
      <c r="C31" s="3">
        <v>2962.3399999999997</v>
      </c>
      <c r="D31" s="4">
        <v>1929.2439999999999</v>
      </c>
      <c r="E31" s="2">
        <v>49165</v>
      </c>
      <c r="F31" s="3">
        <v>37594.521999999997</v>
      </c>
      <c r="G31" s="3">
        <v>120563.106</v>
      </c>
      <c r="H31" s="5">
        <f t="shared" si="9"/>
        <v>31.182443159684354</v>
      </c>
      <c r="I31" s="6">
        <v>9028.3453100000006</v>
      </c>
      <c r="J31" s="7">
        <v>25.28</v>
      </c>
      <c r="K31" s="5">
        <f t="shared" si="10"/>
        <v>9053.6253100000013</v>
      </c>
      <c r="L31" s="6">
        <v>2934.4393329999989</v>
      </c>
      <c r="M31" s="7">
        <v>11863.959651810006</v>
      </c>
      <c r="N31" s="7">
        <v>36.200000000000003</v>
      </c>
      <c r="O31" s="5">
        <f t="shared" si="11"/>
        <v>14834.598984810005</v>
      </c>
      <c r="P31" s="6">
        <v>34424.279657999992</v>
      </c>
      <c r="Q31" s="5">
        <f t="shared" si="12"/>
        <v>43.093418750339879</v>
      </c>
    </row>
    <row r="32" spans="1:17" ht="23.1" customHeight="1" x14ac:dyDescent="0.3">
      <c r="A32" s="50" t="s">
        <v>29</v>
      </c>
      <c r="B32" s="63">
        <v>1646</v>
      </c>
      <c r="C32" s="64">
        <v>3279.7733333333331</v>
      </c>
      <c r="D32" s="67">
        <v>2015.9099999999999</v>
      </c>
      <c r="E32" s="63">
        <v>64763</v>
      </c>
      <c r="F32" s="64">
        <v>47445.128000000004</v>
      </c>
      <c r="G32" s="64">
        <v>131037.693</v>
      </c>
      <c r="H32" s="54">
        <f t="shared" si="9"/>
        <v>36.207236951279356</v>
      </c>
      <c r="I32" s="65">
        <v>9363.8381499999978</v>
      </c>
      <c r="J32" s="66">
        <v>11.077999999999999</v>
      </c>
      <c r="K32" s="54">
        <f t="shared" si="10"/>
        <v>9374.9161499999973</v>
      </c>
      <c r="L32" s="65">
        <v>3593.4597250000006</v>
      </c>
      <c r="M32" s="66">
        <v>12323.519712280013</v>
      </c>
      <c r="N32" s="66">
        <v>17.03388</v>
      </c>
      <c r="O32" s="54">
        <f t="shared" si="11"/>
        <v>15934.013317280014</v>
      </c>
      <c r="P32" s="65">
        <v>35636.083519000007</v>
      </c>
      <c r="Q32" s="54">
        <f t="shared" si="12"/>
        <v>44.713143936775523</v>
      </c>
    </row>
    <row r="33" spans="1:17" ht="23.1" customHeight="1" x14ac:dyDescent="0.3">
      <c r="A33" s="1" t="s">
        <v>30</v>
      </c>
      <c r="B33" s="2">
        <v>994</v>
      </c>
      <c r="C33" s="3">
        <v>1672.1866666666665</v>
      </c>
      <c r="D33" s="4">
        <v>977.279</v>
      </c>
      <c r="E33" s="2">
        <v>49104</v>
      </c>
      <c r="F33" s="3">
        <v>31826.840000000004</v>
      </c>
      <c r="G33" s="3">
        <v>42543.703999999998</v>
      </c>
      <c r="H33" s="5">
        <f t="shared" si="9"/>
        <v>74.809753283353047</v>
      </c>
      <c r="I33" s="6">
        <v>5808.2589100000005</v>
      </c>
      <c r="J33" s="7"/>
      <c r="K33" s="5">
        <f t="shared" si="10"/>
        <v>5808.2589100000005</v>
      </c>
      <c r="L33" s="6">
        <v>2387.9039010000001</v>
      </c>
      <c r="M33" s="7">
        <v>7098.7806265800009</v>
      </c>
      <c r="N33" s="7">
        <v>0</v>
      </c>
      <c r="O33" s="5">
        <f t="shared" si="11"/>
        <v>9486.6845275800006</v>
      </c>
      <c r="P33" s="6">
        <v>18421.727580000002</v>
      </c>
      <c r="Q33" s="5">
        <f t="shared" si="12"/>
        <v>51.497257715826017</v>
      </c>
    </row>
    <row r="34" spans="1:17" ht="23.1" customHeight="1" x14ac:dyDescent="0.3">
      <c r="A34" s="50" t="s">
        <v>31</v>
      </c>
      <c r="B34" s="68">
        <v>1012</v>
      </c>
      <c r="C34" s="69">
        <v>1699.3333333333335</v>
      </c>
      <c r="D34" s="70">
        <v>1002.177</v>
      </c>
      <c r="E34" s="68">
        <v>54493</v>
      </c>
      <c r="F34" s="69">
        <v>35841.584000000003</v>
      </c>
      <c r="G34" s="69">
        <v>47620.626000000004</v>
      </c>
      <c r="H34" s="71">
        <f t="shared" si="9"/>
        <v>75.264831671889397</v>
      </c>
      <c r="I34" s="72">
        <v>5998.1666299999997</v>
      </c>
      <c r="J34" s="73">
        <v>2.6703270000000003</v>
      </c>
      <c r="K34" s="71">
        <f t="shared" si="10"/>
        <v>6000.8369569999995</v>
      </c>
      <c r="L34" s="72">
        <v>2662.9740439999996</v>
      </c>
      <c r="M34" s="73">
        <v>7245.937448460003</v>
      </c>
      <c r="N34" s="73">
        <v>3</v>
      </c>
      <c r="O34" s="71">
        <f t="shared" si="11"/>
        <v>9911.9114924600035</v>
      </c>
      <c r="P34" s="72">
        <v>18509.681271000001</v>
      </c>
      <c r="Q34" s="71">
        <f t="shared" si="12"/>
        <v>53.549876669078401</v>
      </c>
    </row>
    <row r="35" spans="1:17" ht="23.1" customHeight="1" x14ac:dyDescent="0.3">
      <c r="A35" s="74" t="s">
        <v>32</v>
      </c>
      <c r="B35" s="75">
        <f t="shared" ref="B35:G35" si="13">SUM(B23:B34)</f>
        <v>18196</v>
      </c>
      <c r="C35" s="75">
        <f t="shared" si="13"/>
        <v>32663.429666666667</v>
      </c>
      <c r="D35" s="75">
        <f t="shared" si="13"/>
        <v>20374.1188</v>
      </c>
      <c r="E35" s="75">
        <f t="shared" si="13"/>
        <v>594004</v>
      </c>
      <c r="F35" s="75">
        <f t="shared" si="13"/>
        <v>406860.88560000004</v>
      </c>
      <c r="G35" s="75">
        <f t="shared" si="13"/>
        <v>1016676.4514000001</v>
      </c>
      <c r="H35" s="76">
        <f t="shared" si="9"/>
        <v>40.018718348373064</v>
      </c>
      <c r="I35" s="76">
        <f>SUM(I23:I34)</f>
        <v>91248.750922799984</v>
      </c>
      <c r="J35" s="76">
        <f>SUM(J23:J34)</f>
        <v>158.79932700000001</v>
      </c>
      <c r="K35" s="76">
        <f t="shared" si="10"/>
        <v>91407.550249799984</v>
      </c>
      <c r="L35" s="76">
        <f>SUM(L23:L34)</f>
        <v>32529.886235000002</v>
      </c>
      <c r="M35" s="76">
        <f>SUM(M23:M34)</f>
        <v>112833.69657741001</v>
      </c>
      <c r="N35" s="76">
        <f>SUM(N23:N34)</f>
        <v>218.31387999999998</v>
      </c>
      <c r="O35" s="76">
        <f t="shared" si="11"/>
        <v>145581.89669241002</v>
      </c>
      <c r="P35" s="77">
        <f>SUM(P23:P34)</f>
        <v>338653.698339</v>
      </c>
      <c r="Q35" s="76">
        <f t="shared" si="12"/>
        <v>42.988426645404374</v>
      </c>
    </row>
    <row r="36" spans="1:17" ht="18.75" customHeight="1" x14ac:dyDescent="0.3">
      <c r="A36" s="101" t="s">
        <v>37</v>
      </c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  <c r="Q36" s="103"/>
    </row>
    <row r="37" spans="1:17" x14ac:dyDescent="0.3">
      <c r="A37" s="88" t="s">
        <v>33</v>
      </c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90"/>
    </row>
    <row r="38" spans="1:17" x14ac:dyDescent="0.3">
      <c r="A38" s="88" t="s">
        <v>34</v>
      </c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90"/>
    </row>
    <row r="39" spans="1:17" ht="40.5" customHeight="1" x14ac:dyDescent="0.3"/>
    <row r="40" spans="1:17" ht="28.9" customHeight="1" x14ac:dyDescent="0.3"/>
    <row r="41" spans="1:17" ht="178.5" customHeight="1" x14ac:dyDescent="0.3">
      <c r="H41" s="78"/>
      <c r="Q41" s="78"/>
    </row>
    <row r="42" spans="1:17" ht="25.5" customHeight="1" x14ac:dyDescent="0.3"/>
    <row r="43" spans="1:17" ht="25.5" customHeight="1" x14ac:dyDescent="0.3">
      <c r="H43" s="78"/>
      <c r="Q43" s="78"/>
    </row>
    <row r="44" spans="1:17" ht="25.5" customHeight="1" x14ac:dyDescent="0.3"/>
    <row r="45" spans="1:17" ht="25.5" customHeight="1" x14ac:dyDescent="0.3">
      <c r="H45" s="78"/>
      <c r="Q45" s="78"/>
    </row>
    <row r="46" spans="1:17" ht="25.5" customHeight="1" x14ac:dyDescent="0.3"/>
    <row r="47" spans="1:17" ht="25.5" customHeight="1" x14ac:dyDescent="0.3">
      <c r="H47" s="78"/>
      <c r="Q47" s="78"/>
    </row>
    <row r="48" spans="1:17" ht="25.5" customHeight="1" x14ac:dyDescent="0.3"/>
    <row r="49" spans="8:17" ht="25.5" customHeight="1" x14ac:dyDescent="0.3">
      <c r="H49" s="78"/>
      <c r="Q49" s="78"/>
    </row>
    <row r="50" spans="8:17" ht="25.5" customHeight="1" x14ac:dyDescent="0.3"/>
    <row r="51" spans="8:17" ht="25.5" customHeight="1" x14ac:dyDescent="0.3">
      <c r="H51" s="78"/>
      <c r="Q51" s="78"/>
    </row>
    <row r="52" spans="8:17" ht="25.5" customHeight="1" x14ac:dyDescent="0.3"/>
    <row r="53" spans="8:17" ht="25.5" customHeight="1" x14ac:dyDescent="0.3">
      <c r="H53" s="78"/>
      <c r="Q53" s="78"/>
    </row>
    <row r="54" spans="8:17" ht="25.5" customHeight="1" x14ac:dyDescent="0.3"/>
    <row r="55" spans="8:17" ht="22.5" customHeight="1" x14ac:dyDescent="0.3">
      <c r="H55" s="78"/>
      <c r="Q55" s="78"/>
    </row>
    <row r="56" spans="8:17" ht="22.5" customHeight="1" x14ac:dyDescent="0.3"/>
    <row r="57" spans="8:17" ht="22.5" customHeight="1" x14ac:dyDescent="0.3">
      <c r="H57" s="78"/>
      <c r="Q57" s="78"/>
    </row>
    <row r="58" spans="8:17" ht="47.25" customHeight="1" x14ac:dyDescent="0.3">
      <c r="H58" s="78"/>
      <c r="Q58" s="78"/>
    </row>
    <row r="59" spans="8:17" ht="28.9" customHeight="1" x14ac:dyDescent="0.3">
      <c r="H59" s="78"/>
      <c r="Q59" s="78"/>
    </row>
    <row r="60" spans="8:17" ht="164.25" customHeight="1" x14ac:dyDescent="0.3">
      <c r="H60" s="78"/>
      <c r="Q60" s="78"/>
    </row>
    <row r="61" spans="8:17" ht="24.75" customHeight="1" x14ac:dyDescent="0.3">
      <c r="H61" s="78"/>
      <c r="Q61" s="78"/>
    </row>
    <row r="62" spans="8:17" ht="24.75" customHeight="1" x14ac:dyDescent="0.3">
      <c r="H62" s="78"/>
      <c r="Q62" s="78"/>
    </row>
    <row r="63" spans="8:17" ht="24.75" customHeight="1" x14ac:dyDescent="0.3">
      <c r="H63" s="78"/>
      <c r="Q63" s="78"/>
    </row>
    <row r="64" spans="8:17" ht="24.75" customHeight="1" x14ac:dyDescent="0.3"/>
    <row r="65" ht="24.75" customHeight="1" x14ac:dyDescent="0.3"/>
    <row r="66" ht="24.75" customHeight="1" x14ac:dyDescent="0.3"/>
    <row r="67" ht="24.75" customHeight="1" x14ac:dyDescent="0.3"/>
    <row r="68" ht="24.75" customHeight="1" x14ac:dyDescent="0.3"/>
    <row r="69" ht="24.75" customHeight="1" x14ac:dyDescent="0.3"/>
    <row r="70" ht="24.75" customHeight="1" x14ac:dyDescent="0.3"/>
    <row r="71" ht="24.75" customHeight="1" x14ac:dyDescent="0.3"/>
    <row r="72" ht="24.75" customHeight="1" x14ac:dyDescent="0.3"/>
    <row r="73" ht="24.75" customHeight="1" x14ac:dyDescent="0.3"/>
    <row r="83" spans="8:17" x14ac:dyDescent="0.3">
      <c r="H83" s="78"/>
      <c r="Q83" s="78"/>
    </row>
    <row r="86" spans="8:17" x14ac:dyDescent="0.3">
      <c r="H86" s="78"/>
      <c r="Q86" s="78"/>
    </row>
    <row r="88" spans="8:17" x14ac:dyDescent="0.3">
      <c r="H88" s="78"/>
      <c r="Q88" s="78"/>
    </row>
    <row r="90" spans="8:17" x14ac:dyDescent="0.3">
      <c r="H90" s="78"/>
      <c r="Q90" s="78"/>
    </row>
    <row r="92" spans="8:17" x14ac:dyDescent="0.3">
      <c r="H92" s="78"/>
      <c r="Q92" s="78"/>
    </row>
    <row r="94" spans="8:17" x14ac:dyDescent="0.3">
      <c r="H94" s="78"/>
      <c r="Q94" s="78"/>
    </row>
    <row r="96" spans="8:17" x14ac:dyDescent="0.3">
      <c r="H96" s="78"/>
      <c r="Q96" s="78"/>
    </row>
    <row r="98" spans="8:17" x14ac:dyDescent="0.3">
      <c r="H98" s="78"/>
      <c r="Q98" s="78"/>
    </row>
    <row r="100" spans="8:17" x14ac:dyDescent="0.3">
      <c r="H100" s="78"/>
      <c r="Q100" s="78"/>
    </row>
    <row r="102" spans="8:17" x14ac:dyDescent="0.3">
      <c r="H102" s="78"/>
      <c r="Q102" s="78"/>
    </row>
    <row r="103" spans="8:17" x14ac:dyDescent="0.3">
      <c r="Q103" s="78"/>
    </row>
    <row r="104" spans="8:17" x14ac:dyDescent="0.3">
      <c r="H104" s="78"/>
      <c r="Q104" s="78"/>
    </row>
    <row r="105" spans="8:17" x14ac:dyDescent="0.3">
      <c r="H105" s="78"/>
      <c r="Q105" s="78"/>
    </row>
    <row r="106" spans="8:17" x14ac:dyDescent="0.3">
      <c r="H106" s="78"/>
      <c r="Q106" s="78"/>
    </row>
    <row r="107" spans="8:17" x14ac:dyDescent="0.3">
      <c r="H107" s="78"/>
      <c r="Q107" s="78"/>
    </row>
    <row r="108" spans="8:17" x14ac:dyDescent="0.3">
      <c r="H108" s="78"/>
      <c r="Q108" s="78"/>
    </row>
    <row r="131" spans="8:17" x14ac:dyDescent="0.3">
      <c r="H131" s="78"/>
      <c r="Q131" s="78"/>
    </row>
    <row r="134" spans="8:17" x14ac:dyDescent="0.3">
      <c r="H134" s="78"/>
      <c r="Q134" s="78"/>
    </row>
    <row r="136" spans="8:17" x14ac:dyDescent="0.3">
      <c r="H136" s="78"/>
      <c r="Q136" s="78"/>
    </row>
    <row r="138" spans="8:17" x14ac:dyDescent="0.3">
      <c r="H138" s="78"/>
      <c r="Q138" s="78"/>
    </row>
    <row r="140" spans="8:17" x14ac:dyDescent="0.3">
      <c r="H140" s="78"/>
      <c r="Q140" s="78"/>
    </row>
    <row r="142" spans="8:17" x14ac:dyDescent="0.3">
      <c r="H142" s="78"/>
      <c r="Q142" s="78"/>
    </row>
    <row r="144" spans="8:17" x14ac:dyDescent="0.3">
      <c r="H144" s="78"/>
      <c r="Q144" s="78"/>
    </row>
    <row r="146" spans="8:17" x14ac:dyDescent="0.3">
      <c r="H146" s="78"/>
      <c r="Q146" s="78"/>
    </row>
    <row r="148" spans="8:17" x14ac:dyDescent="0.3">
      <c r="H148" s="78"/>
      <c r="Q148" s="78"/>
    </row>
    <row r="150" spans="8:17" x14ac:dyDescent="0.3">
      <c r="H150" s="78"/>
      <c r="Q150" s="78"/>
    </row>
    <row r="152" spans="8:17" x14ac:dyDescent="0.3">
      <c r="H152" s="78"/>
      <c r="Q152" s="78"/>
    </row>
    <row r="154" spans="8:17" x14ac:dyDescent="0.3">
      <c r="H154" s="78"/>
      <c r="Q154" s="78"/>
    </row>
    <row r="156" spans="8:17" x14ac:dyDescent="0.3">
      <c r="H156" s="78"/>
      <c r="Q156" s="78"/>
    </row>
    <row r="179" spans="8:17" x14ac:dyDescent="0.3">
      <c r="H179" s="78"/>
      <c r="Q179" s="78"/>
    </row>
    <row r="181" spans="8:17" x14ac:dyDescent="0.3">
      <c r="H181" s="78"/>
      <c r="Q181" s="78"/>
    </row>
    <row r="182" spans="8:17" x14ac:dyDescent="0.3">
      <c r="H182" s="78"/>
      <c r="Q182" s="78"/>
    </row>
    <row r="183" spans="8:17" x14ac:dyDescent="0.3">
      <c r="H183" s="78"/>
      <c r="Q183" s="78"/>
    </row>
    <row r="184" spans="8:17" x14ac:dyDescent="0.3">
      <c r="H184" s="78"/>
      <c r="Q184" s="78"/>
    </row>
    <row r="185" spans="8:17" x14ac:dyDescent="0.3">
      <c r="H185" s="78"/>
      <c r="Q185" s="78"/>
    </row>
    <row r="186" spans="8:17" x14ac:dyDescent="0.3">
      <c r="H186" s="78"/>
      <c r="Q186" s="78"/>
    </row>
    <row r="187" spans="8:17" x14ac:dyDescent="0.3">
      <c r="H187" s="78"/>
      <c r="Q187" s="78"/>
    </row>
    <row r="188" spans="8:17" x14ac:dyDescent="0.3">
      <c r="H188" s="78"/>
      <c r="Q188" s="78"/>
    </row>
    <row r="189" spans="8:17" x14ac:dyDescent="0.3">
      <c r="H189" s="78"/>
      <c r="Q189" s="78"/>
    </row>
    <row r="190" spans="8:17" x14ac:dyDescent="0.3">
      <c r="H190" s="78"/>
      <c r="Q190" s="78"/>
    </row>
    <row r="191" spans="8:17" x14ac:dyDescent="0.3">
      <c r="H191" s="78"/>
      <c r="Q191" s="78"/>
    </row>
    <row r="192" spans="8:17" x14ac:dyDescent="0.3">
      <c r="H192" s="78"/>
      <c r="Q192" s="78"/>
    </row>
    <row r="193" spans="8:17" x14ac:dyDescent="0.3">
      <c r="H193" s="78"/>
      <c r="Q193" s="78"/>
    </row>
    <row r="194" spans="8:17" x14ac:dyDescent="0.3">
      <c r="H194" s="78"/>
      <c r="Q194" s="78"/>
    </row>
    <row r="195" spans="8:17" x14ac:dyDescent="0.3">
      <c r="H195" s="78"/>
      <c r="Q195" s="78"/>
    </row>
    <row r="196" spans="8:17" x14ac:dyDescent="0.3">
      <c r="H196" s="78"/>
      <c r="Q196" s="78"/>
    </row>
    <row r="197" spans="8:17" x14ac:dyDescent="0.3">
      <c r="H197" s="78"/>
      <c r="Q197" s="78"/>
    </row>
    <row r="198" spans="8:17" x14ac:dyDescent="0.3">
      <c r="H198" s="78"/>
      <c r="Q198" s="78"/>
    </row>
    <row r="199" spans="8:17" x14ac:dyDescent="0.3">
      <c r="H199" s="78"/>
      <c r="Q199" s="78"/>
    </row>
    <row r="200" spans="8:17" x14ac:dyDescent="0.3">
      <c r="H200" s="78"/>
      <c r="Q200" s="78"/>
    </row>
    <row r="201" spans="8:17" x14ac:dyDescent="0.3">
      <c r="H201" s="78"/>
      <c r="Q201" s="78"/>
    </row>
    <row r="202" spans="8:17" x14ac:dyDescent="0.3">
      <c r="H202" s="78"/>
      <c r="Q202" s="78"/>
    </row>
    <row r="203" spans="8:17" x14ac:dyDescent="0.3">
      <c r="H203" s="78"/>
      <c r="Q203" s="78"/>
    </row>
    <row r="204" spans="8:17" x14ac:dyDescent="0.3">
      <c r="H204" s="78"/>
      <c r="Q204" s="78"/>
    </row>
    <row r="227" spans="8:17" x14ac:dyDescent="0.3">
      <c r="H227" s="78"/>
      <c r="Q227" s="78"/>
    </row>
    <row r="230" spans="8:17" x14ac:dyDescent="0.3">
      <c r="H230" s="78"/>
      <c r="Q230" s="78"/>
    </row>
    <row r="232" spans="8:17" x14ac:dyDescent="0.3">
      <c r="H232" s="78"/>
      <c r="Q232" s="78"/>
    </row>
    <row r="233" spans="8:17" x14ac:dyDescent="0.3">
      <c r="H233" s="78"/>
    </row>
    <row r="234" spans="8:17" x14ac:dyDescent="0.3">
      <c r="H234" s="78"/>
      <c r="Q234" s="78"/>
    </row>
    <row r="236" spans="8:17" x14ac:dyDescent="0.3">
      <c r="H236" s="78"/>
      <c r="Q236" s="78"/>
    </row>
    <row r="238" spans="8:17" x14ac:dyDescent="0.3">
      <c r="H238" s="78"/>
      <c r="Q238" s="78"/>
    </row>
    <row r="240" spans="8:17" x14ac:dyDescent="0.3">
      <c r="H240" s="78"/>
      <c r="Q240" s="78"/>
    </row>
    <row r="242" spans="8:17" x14ac:dyDescent="0.3">
      <c r="H242" s="78"/>
      <c r="Q242" s="78"/>
    </row>
    <row r="244" spans="8:17" x14ac:dyDescent="0.3">
      <c r="H244" s="78"/>
      <c r="Q244" s="78"/>
    </row>
    <row r="246" spans="8:17" x14ac:dyDescent="0.3">
      <c r="H246" s="78"/>
      <c r="Q246" s="78"/>
    </row>
    <row r="247" spans="8:17" x14ac:dyDescent="0.3">
      <c r="H247" s="78"/>
      <c r="Q247" s="78"/>
    </row>
    <row r="248" spans="8:17" x14ac:dyDescent="0.3">
      <c r="H248" s="78"/>
      <c r="Q248" s="78"/>
    </row>
    <row r="249" spans="8:17" x14ac:dyDescent="0.3">
      <c r="H249" s="78"/>
      <c r="Q249" s="78"/>
    </row>
    <row r="250" spans="8:17" x14ac:dyDescent="0.3">
      <c r="H250" s="78"/>
      <c r="Q250" s="78"/>
    </row>
    <row r="251" spans="8:17" x14ac:dyDescent="0.3">
      <c r="H251" s="78"/>
      <c r="Q251" s="78"/>
    </row>
    <row r="252" spans="8:17" x14ac:dyDescent="0.3">
      <c r="H252" s="78"/>
      <c r="Q252" s="78"/>
    </row>
    <row r="254" spans="8:17" x14ac:dyDescent="0.3">
      <c r="H254" s="78"/>
    </row>
    <row r="273" spans="8:17" x14ac:dyDescent="0.3">
      <c r="H273" s="78"/>
      <c r="Q273" s="78"/>
    </row>
    <row r="276" spans="8:17" x14ac:dyDescent="0.3">
      <c r="H276" s="78"/>
      <c r="Q276" s="78"/>
    </row>
    <row r="278" spans="8:17" x14ac:dyDescent="0.3">
      <c r="H278" s="78"/>
      <c r="Q278" s="78"/>
    </row>
    <row r="280" spans="8:17" x14ac:dyDescent="0.3">
      <c r="H280" s="78"/>
      <c r="Q280" s="78"/>
    </row>
    <row r="282" spans="8:17" x14ac:dyDescent="0.3">
      <c r="H282" s="78"/>
      <c r="Q282" s="78"/>
    </row>
    <row r="284" spans="8:17" x14ac:dyDescent="0.3">
      <c r="H284" s="78"/>
      <c r="Q284" s="78"/>
    </row>
    <row r="286" spans="8:17" x14ac:dyDescent="0.3">
      <c r="H286" s="78"/>
      <c r="Q286" s="78"/>
    </row>
    <row r="288" spans="8:17" x14ac:dyDescent="0.3">
      <c r="H288" s="78"/>
      <c r="Q288" s="78"/>
    </row>
    <row r="290" spans="8:17" x14ac:dyDescent="0.3">
      <c r="H290" s="78"/>
      <c r="Q290" s="78"/>
    </row>
    <row r="292" spans="8:17" x14ac:dyDescent="0.3">
      <c r="H292" s="78"/>
      <c r="Q292" s="78"/>
    </row>
    <row r="294" spans="8:17" x14ac:dyDescent="0.3">
      <c r="H294" s="78"/>
      <c r="Q294" s="78"/>
    </row>
    <row r="296" spans="8:17" x14ac:dyDescent="0.3">
      <c r="H296" s="78"/>
      <c r="Q296" s="78"/>
    </row>
    <row r="298" spans="8:17" x14ac:dyDescent="0.3">
      <c r="H298" s="78"/>
      <c r="Q298" s="78"/>
    </row>
    <row r="324" spans="8:17" x14ac:dyDescent="0.3">
      <c r="Q324" s="78"/>
    </row>
    <row r="326" spans="8:17" x14ac:dyDescent="0.3">
      <c r="H326" s="78"/>
      <c r="Q326" s="78"/>
    </row>
    <row r="328" spans="8:17" x14ac:dyDescent="0.3">
      <c r="H328" s="78"/>
    </row>
    <row r="330" spans="8:17" x14ac:dyDescent="0.3">
      <c r="H330" s="78"/>
      <c r="Q330" s="78"/>
    </row>
    <row r="358" spans="8:17" x14ac:dyDescent="0.3">
      <c r="H358" s="78"/>
    </row>
    <row r="360" spans="8:17" x14ac:dyDescent="0.3">
      <c r="Q360" s="78"/>
    </row>
    <row r="361" spans="8:17" x14ac:dyDescent="0.3">
      <c r="Q361" s="78"/>
    </row>
    <row r="362" spans="8:17" x14ac:dyDescent="0.3">
      <c r="Q362" s="78"/>
    </row>
    <row r="363" spans="8:17" x14ac:dyDescent="0.3">
      <c r="Q363" s="78"/>
    </row>
    <row r="364" spans="8:17" x14ac:dyDescent="0.3">
      <c r="H364" s="78"/>
      <c r="Q364" s="78"/>
    </row>
    <row r="366" spans="8:17" x14ac:dyDescent="0.3">
      <c r="H366" s="78"/>
      <c r="Q366" s="78"/>
    </row>
    <row r="369" spans="17:17" x14ac:dyDescent="0.3">
      <c r="Q369" s="78"/>
    </row>
    <row r="393" spans="8:17" x14ac:dyDescent="0.3">
      <c r="Q393" s="78"/>
    </row>
    <row r="394" spans="8:17" x14ac:dyDescent="0.3">
      <c r="H394" s="78"/>
      <c r="Q394" s="78"/>
    </row>
    <row r="395" spans="8:17" x14ac:dyDescent="0.3">
      <c r="H395" s="78"/>
      <c r="Q395" s="78"/>
    </row>
    <row r="396" spans="8:17" x14ac:dyDescent="0.3">
      <c r="H396" s="78"/>
      <c r="Q396" s="78"/>
    </row>
    <row r="397" spans="8:17" x14ac:dyDescent="0.3">
      <c r="H397" s="78"/>
      <c r="Q397" s="78"/>
    </row>
    <row r="398" spans="8:17" x14ac:dyDescent="0.3">
      <c r="H398" s="78"/>
      <c r="Q398" s="78"/>
    </row>
    <row r="399" spans="8:17" x14ac:dyDescent="0.3">
      <c r="H399" s="78"/>
      <c r="Q399" s="78"/>
    </row>
    <row r="401" spans="8:17" x14ac:dyDescent="0.3">
      <c r="H401" s="78"/>
      <c r="Q401" s="78"/>
    </row>
    <row r="455" spans="13:13" x14ac:dyDescent="0.3">
      <c r="M455" s="79"/>
    </row>
    <row r="456" spans="13:13" x14ac:dyDescent="0.3">
      <c r="M456" s="8" t="s">
        <v>35</v>
      </c>
    </row>
  </sheetData>
  <mergeCells count="32"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1:O21"/>
    <mergeCell ref="P21:P22"/>
    <mergeCell ref="Q21:Q22"/>
    <mergeCell ref="A36:Q36"/>
    <mergeCell ref="A37:Q37"/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  <mergeCell ref="L2:O2"/>
    <mergeCell ref="P2:P3"/>
    <mergeCell ref="Q2:Q3"/>
    <mergeCell ref="A17:Q17"/>
    <mergeCell ref="A18:Q18"/>
  </mergeCells>
  <printOptions gridLines="1"/>
  <pageMargins left="0.7" right="0.7" top="0.75" bottom="0.5" header="0.3" footer="0.3"/>
  <pageSetup scale="66" firstPageNumber="76" orientation="landscape" useFirstPageNumber="1" r:id="rId1"/>
  <headerFooter alignWithMargins="0"/>
  <rowBreaks count="1" manualBreakCount="1">
    <brk id="19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Monthly_Template</vt:lpstr>
      <vt:lpstr>Sheet1</vt:lpstr>
      <vt:lpstr>Monthly_Template!\x</vt:lpstr>
      <vt:lpstr>Monthly_Template!Print_Area</vt:lpstr>
      <vt:lpstr>Monthly_Template!Print_Area_MI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2022-03-31T12:03:02Z</cp:lastPrinted>
  <dcterms:created xsi:type="dcterms:W3CDTF">2021-03-02T10:01:37Z</dcterms:created>
  <dcterms:modified xsi:type="dcterms:W3CDTF">2022-05-27T06:04:02Z</dcterms:modified>
</cp:coreProperties>
</file>