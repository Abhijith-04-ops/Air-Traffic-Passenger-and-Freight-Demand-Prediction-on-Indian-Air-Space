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K34" i="2"/>
  <c r="O34" i="2"/>
  <c r="Q34" i="2" s="1"/>
  <c r="H15" i="2"/>
  <c r="K15" i="2"/>
  <c r="O15" i="2"/>
  <c r="Q15" i="2" s="1"/>
  <c r="H14" i="2" l="1"/>
  <c r="K14" i="2"/>
  <c r="Q14" i="2"/>
  <c r="O14" i="2"/>
  <c r="H33" i="2"/>
  <c r="K33" i="2"/>
  <c r="O33" i="2"/>
  <c r="Q33" i="2" s="1"/>
  <c r="K32" i="2" l="1"/>
  <c r="K31" i="2"/>
  <c r="Q32" i="2"/>
  <c r="O32" i="2"/>
  <c r="O31" i="2"/>
  <c r="H32" i="2"/>
  <c r="Q13" i="2"/>
  <c r="O13" i="2"/>
  <c r="O12" i="2"/>
  <c r="O11" i="2"/>
  <c r="O10" i="2"/>
  <c r="O9" i="2"/>
  <c r="O8" i="2"/>
  <c r="O7" i="2"/>
  <c r="K12" i="2"/>
  <c r="K13" i="2"/>
  <c r="H13" i="2"/>
  <c r="Q31" i="2" l="1"/>
  <c r="H31" i="2"/>
  <c r="Q12" i="2"/>
  <c r="H12" i="2"/>
  <c r="H30" i="2" l="1"/>
  <c r="K30" i="2" l="1"/>
  <c r="O30" i="2"/>
  <c r="Q30" i="2" s="1"/>
  <c r="Q11" i="2"/>
  <c r="K11" i="2"/>
  <c r="H11" i="2"/>
  <c r="Q29" i="2" l="1"/>
  <c r="O29" i="2"/>
  <c r="K29" i="2"/>
  <c r="H29" i="2"/>
  <c r="Q10" i="2"/>
  <c r="K10" i="2"/>
  <c r="H10" i="2"/>
  <c r="O28" i="2" l="1"/>
  <c r="Q28" i="2" s="1"/>
  <c r="K28" i="2"/>
  <c r="H28" i="2"/>
  <c r="Q9" i="2"/>
  <c r="K9" i="2"/>
  <c r="H9" i="2"/>
  <c r="O27" i="2" l="1"/>
  <c r="Q27" i="2" l="1"/>
  <c r="H27" i="2"/>
  <c r="Q8" i="2" l="1"/>
  <c r="H8" i="2"/>
  <c r="Q26" i="2" l="1"/>
  <c r="O26" i="2"/>
  <c r="H26" i="2"/>
  <c r="K26" i="2"/>
  <c r="Q7" i="2"/>
  <c r="H7" i="2"/>
  <c r="Q25" i="2" l="1"/>
  <c r="O25" i="2"/>
  <c r="K25" i="2"/>
  <c r="H25" i="2"/>
  <c r="O6" i="2"/>
  <c r="Q6" i="2" s="1"/>
  <c r="K6" i="2"/>
  <c r="H6" i="2"/>
  <c r="Q24" i="2" l="1"/>
  <c r="O24" i="2"/>
  <c r="K24" i="2"/>
  <c r="H24" i="2"/>
  <c r="O5" i="2"/>
  <c r="Q5" i="2" s="1"/>
  <c r="K5" i="2"/>
  <c r="H5" i="2"/>
  <c r="H4" i="2" l="1"/>
  <c r="K4" i="2"/>
  <c r="O4" i="2"/>
  <c r="Q4" i="2" s="1"/>
  <c r="B16" i="2"/>
  <c r="C16" i="2"/>
  <c r="D16" i="2"/>
  <c r="E16" i="2"/>
  <c r="F16" i="2"/>
  <c r="G16" i="2"/>
  <c r="I16" i="2"/>
  <c r="J16" i="2"/>
  <c r="L16" i="2"/>
  <c r="M16" i="2"/>
  <c r="N16" i="2"/>
  <c r="P16" i="2"/>
  <c r="H23" i="2"/>
  <c r="K23" i="2"/>
  <c r="O23" i="2"/>
  <c r="Q23" i="2" s="1"/>
  <c r="B35" i="2"/>
  <c r="C35" i="2"/>
  <c r="D35" i="2"/>
  <c r="E35" i="2"/>
  <c r="F35" i="2"/>
  <c r="G35" i="2"/>
  <c r="I35" i="2"/>
  <c r="J35" i="2"/>
  <c r="L35" i="2"/>
  <c r="M35" i="2"/>
  <c r="N35" i="2"/>
  <c r="P35" i="2"/>
  <c r="O16" i="2" l="1"/>
  <c r="Q16" i="2" s="1"/>
  <c r="K16" i="2"/>
  <c r="H16" i="2"/>
  <c r="O35" i="2"/>
  <c r="Q35" i="2" s="1"/>
  <c r="K35" i="2"/>
  <c r="H35" i="2"/>
</calcChain>
</file>

<file path=xl/sharedStrings.xml><?xml version="1.0" encoding="utf-8"?>
<sst xmlns="http://schemas.openxmlformats.org/spreadsheetml/2006/main" count="76" uniqueCount="40">
  <si>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</si>
  <si>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</si>
  <si>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</si>
  <si>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</si>
  <si>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</si>
  <si>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</si>
  <si>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</si>
  <si>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</si>
  <si>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</si>
  <si>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</si>
  <si>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</si>
  <si>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</si>
  <si>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</si>
  <si>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</si>
  <si>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</si>
  <si>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</si>
  <si>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</si>
  <si>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</si>
  <si>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</si>
  <si>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</si>
  <si>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</si>
  <si>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</si>
  <si>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</si>
  <si>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</si>
  <si>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</si>
  <si>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</si>
  <si>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</si>
  <si>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</si>
  <si>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</si>
  <si>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</si>
  <si>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</si>
  <si>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</si>
  <si>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</si>
  <si>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</si>
  <si>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</si>
  <si>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</si>
  <si>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SOURCE:-ICAO ATR FORM A FURNISHED BY </t>
  </si>
  <si>
    <t>Monthly Traffic And Operating Statistics of Indian Carriers During 2022 (Provisional)
 ( Scheduled Domestic Services)</t>
  </si>
  <si>
    <t>Monthly Traffic And Operating Statistics of Indian Carriers During 2022 (Provisional)
 (Non- Scheduled Domestic Services)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</si>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</sst>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2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1"/>
      <name val="Calibri Light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8" fillId="5" borderId="3" xfId="1" applyFont="1" applyFill="1" applyBorder="1" applyAlignment="1" applyProtection="1">
      <alignment horizontal="center" vertical="center" wrapText="1"/>
    </xf>
    <xf numFmtId="3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4" xfId="1" applyNumberFormat="1" applyFont="1" applyFill="1" applyBorder="1" applyAlignment="1" applyProtection="1">
      <alignment horizontal="center" vertical="center" wrapText="1"/>
    </xf>
    <xf numFmtId="164" fontId="3" fillId="5" borderId="3" xfId="1" applyNumberFormat="1" applyFont="1" applyFill="1" applyBorder="1" applyAlignment="1" applyProtection="1">
      <alignment horizontal="center" vertical="center" wrapText="1"/>
    </xf>
    <xf numFmtId="0" fontId="4" fillId="3" borderId="0" xfId="1" applyFont="1" applyFill="1" applyAlignment="1">
      <alignment vertical="center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2" xfId="1" quotePrefix="1" applyFont="1" applyFill="1" applyBorder="1" applyAlignment="1" applyProtection="1">
      <alignment horizontal="center" vertical="center" textRotation="90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0" fontId="3" fillId="3" borderId="0" xfId="1" applyFont="1" applyFill="1" applyBorder="1" applyAlignment="1" applyProtection="1">
      <alignment horizontal="center" vertical="center" wrapText="1"/>
    </xf>
    <xf numFmtId="3" fontId="10" fillId="3" borderId="9" xfId="1" applyNumberFormat="1" applyFont="1" applyFill="1" applyBorder="1" applyAlignment="1" applyProtection="1">
      <alignment horizontal="center" vertical="center" wrapText="1"/>
    </xf>
    <xf numFmtId="3" fontId="10" fillId="3" borderId="0" xfId="1" applyNumberFormat="1" applyFont="1" applyFill="1" applyBorder="1" applyAlignment="1" applyProtection="1">
      <alignment horizontal="center" vertical="center" wrapText="1"/>
    </xf>
    <xf numFmtId="3" fontId="10" fillId="3" borderId="8" xfId="1" applyNumberFormat="1" applyFont="1" applyFill="1" applyBorder="1" applyAlignment="1" applyProtection="1">
      <alignment horizontal="center" vertical="center" wrapText="1"/>
    </xf>
    <xf numFmtId="164" fontId="3" fillId="3" borderId="8" xfId="1" applyNumberFormat="1" applyFont="1" applyFill="1" applyBorder="1" applyAlignment="1" applyProtection="1">
      <alignment horizontal="center" vertical="center" wrapText="1"/>
    </xf>
    <xf numFmtId="164" fontId="10" fillId="3" borderId="9" xfId="1" applyNumberFormat="1" applyFont="1" applyFill="1" applyBorder="1" applyAlignment="1" applyProtection="1">
      <alignment horizontal="center" vertical="center" wrapText="1"/>
    </xf>
    <xf numFmtId="164" fontId="10" fillId="3" borderId="0" xfId="1" applyNumberFormat="1" applyFont="1" applyFill="1" applyBorder="1" applyAlignment="1" applyProtection="1">
      <alignment horizontal="center" vertical="center" wrapText="1"/>
    </xf>
    <xf numFmtId="3" fontId="10" fillId="6" borderId="9" xfId="1" applyNumberFormat="1" applyFont="1" applyFill="1" applyBorder="1" applyAlignment="1" applyProtection="1">
      <alignment horizontal="center" vertical="center" wrapText="1"/>
    </xf>
    <xf numFmtId="3" fontId="10" fillId="6" borderId="0" xfId="1" applyNumberFormat="1" applyFont="1" applyFill="1" applyBorder="1" applyAlignment="1" applyProtection="1">
      <alignment horizontal="center" vertical="center" wrapText="1"/>
    </xf>
    <xf numFmtId="3" fontId="10" fillId="6" borderId="8" xfId="1" applyNumberFormat="1" applyFont="1" applyFill="1" applyBorder="1" applyAlignment="1" applyProtection="1">
      <alignment horizontal="center" vertical="center" wrapText="1"/>
    </xf>
    <xf numFmtId="164" fontId="10" fillId="6" borderId="9" xfId="1" applyNumberFormat="1" applyFont="1" applyFill="1" applyBorder="1" applyAlignment="1" applyProtection="1">
      <alignment horizontal="center" vertical="center" wrapText="1"/>
    </xf>
    <xf numFmtId="164" fontId="10" fillId="6" borderId="0" xfId="1" applyNumberFormat="1" applyFont="1" applyFill="1" applyBorder="1" applyAlignment="1" applyProtection="1">
      <alignment horizontal="center" vertical="center" wrapText="1"/>
    </xf>
    <xf numFmtId="4" fontId="10" fillId="6" borderId="0" xfId="1" applyNumberFormat="1" applyFont="1" applyFill="1" applyBorder="1" applyAlignment="1" applyProtection="1">
      <alignment horizontal="center" vertical="center" wrapText="1"/>
    </xf>
    <xf numFmtId="3" fontId="3" fillId="3" borderId="9" xfId="1" applyNumberFormat="1" applyFont="1" applyFill="1" applyBorder="1" applyAlignment="1" applyProtection="1">
      <alignment horizontal="center" vertical="center" wrapText="1"/>
    </xf>
    <xf numFmtId="3" fontId="3" fillId="3" borderId="0" xfId="1" applyNumberFormat="1" applyFont="1" applyFill="1" applyBorder="1" applyAlignment="1" applyProtection="1">
      <alignment horizontal="center" vertical="center" wrapText="1"/>
    </xf>
    <xf numFmtId="164" fontId="3" fillId="3" borderId="9" xfId="1" applyNumberFormat="1" applyFont="1" applyFill="1" applyBorder="1" applyAlignment="1" applyProtection="1">
      <alignment horizontal="center" vertical="center" wrapText="1"/>
    </xf>
    <xf numFmtId="164" fontId="3" fillId="3" borderId="0" xfId="1" applyNumberFormat="1" applyFont="1" applyFill="1" applyBorder="1" applyAlignment="1" applyProtection="1">
      <alignment horizontal="center" vertical="center" wrapText="1"/>
    </xf>
    <xf numFmtId="3" fontId="3" fillId="3" borderId="8" xfId="1" applyNumberFormat="1" applyFont="1" applyFill="1" applyBorder="1" applyAlignment="1" applyProtection="1">
      <alignment horizontal="center" vertical="center" wrapText="1"/>
    </xf>
    <xf numFmtId="3" fontId="3" fillId="3" borderId="12" xfId="1" applyNumberFormat="1" applyFont="1" applyFill="1" applyBorder="1" applyAlignment="1" applyProtection="1">
      <alignment horizontal="center" vertical="center" wrapText="1"/>
    </xf>
    <xf numFmtId="3" fontId="3" fillId="3" borderId="1" xfId="1" applyNumberFormat="1" applyFont="1" applyFill="1" applyBorder="1" applyAlignment="1" applyProtection="1">
      <alignment horizontal="center" vertical="center" wrapText="1"/>
    </xf>
    <xf numFmtId="3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1" xfId="1" applyNumberFormat="1" applyFont="1" applyFill="1" applyBorder="1" applyAlignment="1" applyProtection="1">
      <alignment horizontal="center" vertical="center" wrapText="1"/>
    </xf>
    <xf numFmtId="164" fontId="3" fillId="3" borderId="12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 wrapText="1"/>
    </xf>
    <xf numFmtId="0" fontId="8" fillId="8" borderId="3" xfId="1" applyFont="1" applyFill="1" applyBorder="1" applyAlignment="1" applyProtection="1">
      <alignment horizontal="center" vertical="center" wrapText="1"/>
    </xf>
    <xf numFmtId="3" fontId="3" fillId="8" borderId="10" xfId="1" applyNumberFormat="1" applyFont="1" applyFill="1" applyBorder="1" applyAlignment="1" applyProtection="1">
      <alignment horizontal="center" vertical="center" wrapText="1"/>
    </xf>
    <xf numFmtId="164" fontId="3" fillId="8" borderId="10" xfId="1" applyNumberFormat="1" applyFont="1" applyFill="1" applyBorder="1" applyAlignment="1" applyProtection="1">
      <alignment horizontal="center" vertical="center" wrapText="1"/>
    </xf>
    <xf numFmtId="164" fontId="3" fillId="8" borderId="3" xfId="1" applyNumberFormat="1" applyFont="1" applyFill="1" applyBorder="1" applyAlignment="1" applyProtection="1">
      <alignment horizontal="center" vertical="center" wrapText="1"/>
    </xf>
    <xf numFmtId="165" fontId="4" fillId="3" borderId="0" xfId="1" applyNumberFormat="1" applyFont="1" applyFill="1" applyProtection="1"/>
    <xf numFmtId="0" fontId="4" fillId="3" borderId="0" xfId="1" applyFont="1" applyFill="1" applyAlignment="1" applyProtection="1">
      <alignment horizontal="left"/>
    </xf>
    <xf numFmtId="3" fontId="11" fillId="2" borderId="7" xfId="1" applyNumberFormat="1" applyFont="1" applyFill="1" applyBorder="1" applyAlignment="1" applyProtection="1">
      <alignment horizontal="center" vertical="center" wrapText="1"/>
    </xf>
    <xf numFmtId="3" fontId="11" fillId="2" borderId="5" xfId="1" applyNumberFormat="1" applyFont="1" applyFill="1" applyBorder="1" applyAlignment="1" applyProtection="1">
      <alignment horizontal="center" vertical="center" wrapText="1"/>
    </xf>
    <xf numFmtId="3" fontId="11" fillId="3" borderId="9" xfId="1" applyNumberFormat="1" applyFont="1" applyFill="1" applyBorder="1" applyAlignment="1" applyProtection="1">
      <alignment horizontal="center" vertical="center" wrapText="1"/>
    </xf>
    <xf numFmtId="3" fontId="11" fillId="3" borderId="0" xfId="1" applyNumberFormat="1" applyFont="1" applyFill="1" applyBorder="1" applyAlignment="1" applyProtection="1">
      <alignment horizontal="center" vertical="center" wrapText="1"/>
    </xf>
    <xf numFmtId="164" fontId="11" fillId="2" borderId="7" xfId="1" applyNumberFormat="1" applyFont="1" applyFill="1" applyBorder="1" applyAlignment="1" applyProtection="1">
      <alignment horizontal="center" vertical="center" wrapText="1"/>
    </xf>
    <xf numFmtId="164" fontId="11" fillId="2" borderId="5" xfId="1" applyNumberFormat="1" applyFont="1" applyFill="1" applyBorder="1" applyAlignment="1" applyProtection="1">
      <alignment horizontal="center" vertical="center" wrapText="1"/>
    </xf>
    <xf numFmtId="164" fontId="11" fillId="3" borderId="9" xfId="1" applyNumberFormat="1" applyFont="1" applyFill="1" applyBorder="1" applyAlignment="1" applyProtection="1">
      <alignment horizontal="center" vertical="center" wrapText="1"/>
    </xf>
    <xf numFmtId="164" fontId="11" fillId="3" borderId="0" xfId="1" applyNumberFormat="1" applyFont="1" applyFill="1" applyBorder="1" applyAlignment="1" applyProtection="1">
      <alignment horizontal="center" vertical="center" wrapText="1"/>
    </xf>
    <xf numFmtId="164" fontId="6" fillId="4" borderId="3" xfId="1" applyNumberFormat="1" applyFont="1" applyFill="1" applyBorder="1" applyAlignment="1" applyProtection="1">
      <alignment horizontal="center" vertical="center" textRotation="90" wrapText="1"/>
    </xf>
    <xf numFmtId="164" fontId="8" fillId="7" borderId="2" xfId="1" applyNumberFormat="1" applyFont="1" applyFill="1" applyBorder="1" applyAlignment="1" applyProtection="1">
      <alignment horizontal="center" vertical="center" textRotation="90" wrapText="1"/>
    </xf>
    <xf numFmtId="164" fontId="4" fillId="3" borderId="0" xfId="1" applyNumberFormat="1" applyFont="1" applyFill="1"/>
    <xf numFmtId="0" fontId="8" fillId="3" borderId="15" xfId="1" applyFont="1" applyFill="1" applyBorder="1" applyAlignment="1">
      <alignment horizontal="left" vertical="center"/>
    </xf>
    <xf numFmtId="0" fontId="8" fillId="3" borderId="13" xfId="1" applyFont="1" applyFill="1" applyBorder="1" applyAlignment="1">
      <alignment horizontal="left" vertical="center"/>
    </xf>
    <xf numFmtId="0" fontId="8" fillId="3" borderId="14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5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10" xfId="1" applyFont="1" applyFill="1" applyBorder="1" applyAlignment="1" applyProtection="1">
      <alignment horizontal="center" vertical="center" wrapText="1"/>
    </xf>
    <xf numFmtId="0" fontId="6" fillId="4" borderId="15" xfId="1" applyFont="1" applyFill="1" applyBorder="1" applyAlignment="1" applyProtection="1">
      <alignment horizontal="center" vertical="center" wrapText="1"/>
    </xf>
    <xf numFmtId="0" fontId="6" fillId="4" borderId="13" xfId="1" applyFont="1" applyFill="1" applyBorder="1" applyAlignment="1" applyProtection="1">
      <alignment horizontal="center" vertical="center" wrapText="1"/>
    </xf>
    <xf numFmtId="0" fontId="6" fillId="4" borderId="14" xfId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textRotation="90" wrapText="1"/>
    </xf>
    <xf numFmtId="0" fontId="6" fillId="4" borderId="10" xfId="1" applyFont="1" applyFill="1" applyBorder="1" applyAlignment="1" applyProtection="1">
      <alignment horizontal="center" vertical="center" textRotation="90" wrapText="1"/>
    </xf>
    <xf numFmtId="0" fontId="8" fillId="3" borderId="15" xfId="1" applyFont="1" applyFill="1" applyBorder="1" applyAlignment="1" applyProtection="1">
      <alignment horizontal="left" vertical="center" wrapText="1"/>
    </xf>
    <xf numFmtId="0" fontId="8" fillId="3" borderId="13" xfId="1" applyFont="1" applyFill="1" applyBorder="1" applyAlignment="1" applyProtection="1">
      <alignment horizontal="left" vertical="center" wrapText="1"/>
    </xf>
    <xf numFmtId="0" fontId="8" fillId="3" borderId="14" xfId="1" applyFont="1" applyFill="1" applyBorder="1" applyAlignment="1" applyProtection="1">
      <alignment horizontal="left" vertical="center" wrapText="1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9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wrapText="1"/>
    </xf>
    <xf numFmtId="0" fontId="8" fillId="7" borderId="10" xfId="1" applyFont="1" applyFill="1" applyBorder="1" applyAlignment="1" applyProtection="1">
      <alignment horizontal="center" vertical="center" wrapText="1"/>
    </xf>
    <xf numFmtId="0" fontId="8" fillId="7" borderId="15" xfId="1" applyFont="1" applyFill="1" applyBorder="1" applyAlignment="1" applyProtection="1">
      <alignment horizontal="center" vertical="center" wrapText="1"/>
    </xf>
    <xf numFmtId="0" fontId="8" fillId="7" borderId="13" xfId="1" applyFont="1" applyFill="1" applyBorder="1" applyAlignment="1" applyProtection="1">
      <alignment horizontal="center" vertical="center" wrapText="1"/>
    </xf>
    <xf numFmtId="0" fontId="8" fillId="7" borderId="14" xfId="1" applyFont="1" applyFill="1" applyBorder="1" applyAlignment="1" applyProtection="1">
      <alignment horizontal="center" vertical="center" wrapText="1"/>
    </xf>
    <xf numFmtId="0" fontId="8" fillId="7" borderId="2" xfId="1" applyFont="1" applyFill="1" applyBorder="1" applyAlignment="1" applyProtection="1">
      <alignment horizontal="center" vertical="center" textRotation="90" wrapText="1"/>
    </xf>
    <xf numFmtId="0" fontId="8" fillId="7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3" transitionEvaluation="1" transitionEntry="1" codeName="Sheet12"/>
  <dimension ref="A1:Q456"/>
  <sheetViews>
    <sheetView showGridLines="0" tabSelected="1" view="pageBreakPreview" topLeftCell="A23" zoomScale="98" zoomScaleNormal="85" zoomScaleSheetLayoutView="98" workbookViewId="0">
      <selection activeCell="J29" sqref="J29"/>
    </sheetView>
  </sheetViews>
  <sheetFormatPr defaultColWidth="9.7109375" defaultRowHeight="18.75" x14ac:dyDescent="0.3"/>
  <cols>
    <col min="1" max="1" width="10.42578125" style="8" customWidth="1"/>
    <col min="2" max="2" width="9.7109375" style="8" bestFit="1" customWidth="1"/>
    <col min="3" max="3" width="10.28515625" style="8" customWidth="1"/>
    <col min="4" max="4" width="10.85546875" style="8" customWidth="1"/>
    <col min="5" max="5" width="16.140625" style="8" customWidth="1"/>
    <col min="6" max="6" width="14.5703125" style="8" customWidth="1"/>
    <col min="7" max="7" width="16.28515625" style="8" customWidth="1"/>
    <col min="8" max="8" width="6.7109375" style="8" customWidth="1"/>
    <col min="9" max="9" width="11.28515625" style="8" bestFit="1" customWidth="1"/>
    <col min="10" max="10" width="12" style="8" customWidth="1"/>
    <col min="11" max="11" width="11.28515625" style="8" bestFit="1" customWidth="1"/>
    <col min="12" max="12" width="13.42578125" style="90" customWidth="1"/>
    <col min="13" max="13" width="11.28515625" style="8" bestFit="1" customWidth="1"/>
    <col min="14" max="14" width="9.140625" style="8" customWidth="1"/>
    <col min="15" max="15" width="14.42578125" style="8" customWidth="1"/>
    <col min="16" max="16" width="14.85546875" style="8" customWidth="1"/>
    <col min="17" max="17" width="6.7109375" style="8" customWidth="1"/>
    <col min="18" max="16384" width="9.7109375" style="8"/>
  </cols>
  <sheetData>
    <row r="1" spans="1:17" ht="46.5" customHeight="1" x14ac:dyDescent="0.3">
      <c r="A1" s="94">
        <v>2022</v>
      </c>
      <c r="B1" s="94"/>
      <c r="C1" s="95" t="s">
        <v>37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6"/>
      <c r="P1" s="96"/>
      <c r="Q1" s="96"/>
    </row>
    <row r="2" spans="1:17" ht="33" customHeight="1" x14ac:dyDescent="0.3">
      <c r="A2" s="97" t="s">
        <v>0</v>
      </c>
      <c r="B2" s="99" t="s">
        <v>1</v>
      </c>
      <c r="C2" s="100"/>
      <c r="D2" s="101"/>
      <c r="E2" s="102" t="s">
        <v>2</v>
      </c>
      <c r="F2" s="102" t="s">
        <v>3</v>
      </c>
      <c r="G2" s="102" t="s">
        <v>4</v>
      </c>
      <c r="H2" s="102" t="s">
        <v>5</v>
      </c>
      <c r="I2" s="99" t="s">
        <v>6</v>
      </c>
      <c r="J2" s="100"/>
      <c r="K2" s="101"/>
      <c r="L2" s="99" t="s">
        <v>7</v>
      </c>
      <c r="M2" s="100"/>
      <c r="N2" s="100"/>
      <c r="O2" s="101"/>
      <c r="P2" s="102" t="s">
        <v>8</v>
      </c>
      <c r="Q2" s="102" t="s">
        <v>9</v>
      </c>
    </row>
    <row r="3" spans="1:17" ht="155.25" customHeight="1" x14ac:dyDescent="0.3">
      <c r="A3" s="98"/>
      <c r="B3" s="9" t="s">
        <v>10</v>
      </c>
      <c r="C3" s="9" t="s">
        <v>11</v>
      </c>
      <c r="D3" s="9" t="s">
        <v>12</v>
      </c>
      <c r="E3" s="103"/>
      <c r="F3" s="103"/>
      <c r="G3" s="103"/>
      <c r="H3" s="103"/>
      <c r="I3" s="9" t="s">
        <v>13</v>
      </c>
      <c r="J3" s="10" t="s">
        <v>14</v>
      </c>
      <c r="K3" s="9" t="s">
        <v>15</v>
      </c>
      <c r="L3" s="88" t="s">
        <v>16</v>
      </c>
      <c r="M3" s="9" t="s">
        <v>17</v>
      </c>
      <c r="N3" s="9" t="s">
        <v>18</v>
      </c>
      <c r="O3" s="9" t="s">
        <v>19</v>
      </c>
      <c r="P3" s="103"/>
      <c r="Q3" s="103"/>
    </row>
    <row r="4" spans="1:17" ht="23.1" customHeight="1" x14ac:dyDescent="0.3">
      <c r="A4" s="11" t="s">
        <v>20</v>
      </c>
      <c r="B4" s="12">
        <v>63541</v>
      </c>
      <c r="C4" s="12">
        <v>107344.69000000002</v>
      </c>
      <c r="D4" s="13">
        <v>59516.356999999996</v>
      </c>
      <c r="E4" s="80">
        <v>6410579</v>
      </c>
      <c r="F4" s="81">
        <v>6257032.4269999992</v>
      </c>
      <c r="G4" s="81">
        <v>9572230.2550000008</v>
      </c>
      <c r="H4" s="14">
        <f t="shared" ref="H4:H15" si="0">IFERROR(F4/G4*100," ")</f>
        <v>65.366505613795425</v>
      </c>
      <c r="I4" s="15">
        <v>47907.634649999993</v>
      </c>
      <c r="J4" s="16">
        <v>2397.9060938220136</v>
      </c>
      <c r="K4" s="14">
        <f>IF(AND(ISBLANK(I4),ISBLANK(J4))=TRUE,"",I4+J4)</f>
        <v>50305.540743822006</v>
      </c>
      <c r="L4" s="84">
        <v>542295.78435199987</v>
      </c>
      <c r="M4" s="85">
        <v>56757.278032479982</v>
      </c>
      <c r="N4" s="85">
        <v>2548.5427484574634</v>
      </c>
      <c r="O4" s="14">
        <f>IF(AND(ISBLANK(L4),ISBLANK(M4),ISBLANK(N4))=TRUE,"",L4+M4+N4)</f>
        <v>601601.60513293743</v>
      </c>
      <c r="P4" s="85">
        <v>1049350.8594839999</v>
      </c>
      <c r="Q4" s="14">
        <f t="shared" ref="Q4:Q15" si="1">IFERROR(O4/P4*100," ")</f>
        <v>57.33083455316028</v>
      </c>
    </row>
    <row r="5" spans="1:17" ht="23.1" customHeight="1" x14ac:dyDescent="0.3">
      <c r="A5" s="17" t="s">
        <v>21</v>
      </c>
      <c r="B5" s="18">
        <v>57220</v>
      </c>
      <c r="C5" s="18">
        <v>97246.116666666669</v>
      </c>
      <c r="D5" s="17">
        <v>54491.058999999994</v>
      </c>
      <c r="E5" s="82">
        <v>7695734</v>
      </c>
      <c r="F5" s="83">
        <v>7477779.7909999993</v>
      </c>
      <c r="G5" s="83">
        <v>8762407.1960000005</v>
      </c>
      <c r="H5" s="87">
        <f t="shared" si="0"/>
        <v>85.339332260358461</v>
      </c>
      <c r="I5" s="21">
        <v>46893.902950000003</v>
      </c>
      <c r="J5" s="22">
        <v>2250.6851313144221</v>
      </c>
      <c r="K5" s="20">
        <f>IF(AND(ISBLANK(I5),ISBLANK(J5))=TRUE,"",I5+J5)</f>
        <v>49144.588081314425</v>
      </c>
      <c r="L5" s="86">
        <v>655346.83947100013</v>
      </c>
      <c r="M5" s="87">
        <v>56297.0041919</v>
      </c>
      <c r="N5" s="87">
        <v>2485.0085545702855</v>
      </c>
      <c r="O5" s="20">
        <f>IF(AND(ISBLANK(L5),ISBLANK(M5),ISBLANK(N5))=TRUE,"",L5+M5+N5)</f>
        <v>714128.85221747041</v>
      </c>
      <c r="P5" s="87">
        <v>962197.42468199925</v>
      </c>
      <c r="Q5" s="87">
        <f t="shared" si="1"/>
        <v>74.218537058908254</v>
      </c>
    </row>
    <row r="6" spans="1:17" ht="23.1" customHeight="1" x14ac:dyDescent="0.3">
      <c r="A6" s="23" t="s">
        <v>22</v>
      </c>
      <c r="B6" s="24">
        <v>80948</v>
      </c>
      <c r="C6" s="24">
        <v>138064.41333333333</v>
      </c>
      <c r="D6" s="23">
        <v>77447.667000000016</v>
      </c>
      <c r="E6" s="25">
        <v>10619642</v>
      </c>
      <c r="F6" s="24">
        <v>10303960.549999999</v>
      </c>
      <c r="G6" s="24">
        <v>12526336.472000001</v>
      </c>
      <c r="H6" s="14">
        <f t="shared" si="0"/>
        <v>82.258372773494798</v>
      </c>
      <c r="I6" s="27">
        <v>54790.625870000003</v>
      </c>
      <c r="J6" s="28">
        <v>2508.0360313487777</v>
      </c>
      <c r="K6" s="26">
        <f>IF(AND(ISBLANK(I6),ISBLANK(J6))=TRUE,"",I6+J6)</f>
        <v>57298.66190134878</v>
      </c>
      <c r="L6" s="27">
        <v>902379.36897599895</v>
      </c>
      <c r="M6" s="28">
        <v>66352.436418789992</v>
      </c>
      <c r="N6" s="28">
        <v>2798.0323428057532</v>
      </c>
      <c r="O6" s="26">
        <f>IF(AND(ISBLANK(L6),ISBLANK(M6),ISBLANK(N6))=TRUE,"",L6+M6+N6)</f>
        <v>971529.83773759473</v>
      </c>
      <c r="P6" s="28">
        <v>1377135.1701039998</v>
      </c>
      <c r="Q6" s="26">
        <f t="shared" si="1"/>
        <v>70.547166235266928</v>
      </c>
    </row>
    <row r="7" spans="1:17" ht="23.1" customHeight="1" x14ac:dyDescent="0.3">
      <c r="A7" s="17" t="s">
        <v>23</v>
      </c>
      <c r="B7" s="18">
        <v>82056</v>
      </c>
      <c r="C7" s="18">
        <v>140805.15533333336</v>
      </c>
      <c r="D7" s="17">
        <v>75866.246999999988</v>
      </c>
      <c r="E7" s="19">
        <v>10549088</v>
      </c>
      <c r="F7" s="18">
        <v>10358205.731999999</v>
      </c>
      <c r="G7" s="18">
        <v>12866084.865999999</v>
      </c>
      <c r="H7" s="20">
        <f t="shared" si="0"/>
        <v>80.507830003303198</v>
      </c>
      <c r="I7" s="21">
        <v>53054.654119999985</v>
      </c>
      <c r="J7" s="22">
        <v>2685.0609638008286</v>
      </c>
      <c r="K7" s="20">
        <v>55739.715083800824</v>
      </c>
      <c r="L7" s="21">
        <v>909250.3371389989</v>
      </c>
      <c r="M7" s="22">
        <v>65095.926159430004</v>
      </c>
      <c r="N7" s="22">
        <v>2980.1320213650429</v>
      </c>
      <c r="O7" s="20">
        <f t="shared" ref="O7:O15" si="2">IF(AND(ISBLANK(L7),ISBLANK(M7),ISBLANK(N7))=TRUE,"",L7+M7+N7)</f>
        <v>977326.39531979384</v>
      </c>
      <c r="P7" s="22">
        <v>1435686.7204380003</v>
      </c>
      <c r="Q7" s="20">
        <f t="shared" si="1"/>
        <v>68.073792242198252</v>
      </c>
    </row>
    <row r="8" spans="1:17" s="29" customFormat="1" ht="30" customHeight="1" x14ac:dyDescent="0.25">
      <c r="A8" s="23" t="s">
        <v>24</v>
      </c>
      <c r="B8" s="24">
        <v>86460</v>
      </c>
      <c r="C8" s="24">
        <v>150271.38866666667</v>
      </c>
      <c r="D8" s="23">
        <v>80310.685000000012</v>
      </c>
      <c r="E8" s="25">
        <v>11470422</v>
      </c>
      <c r="F8" s="24">
        <v>11296421.489000002</v>
      </c>
      <c r="G8" s="24">
        <v>13625641.243000003</v>
      </c>
      <c r="H8" s="26">
        <f t="shared" si="0"/>
        <v>82.905613670133818</v>
      </c>
      <c r="I8" s="27">
        <v>59913.835950000001</v>
      </c>
      <c r="J8" s="28">
        <v>2431.4742999999999</v>
      </c>
      <c r="K8" s="26">
        <v>62345.310250000002</v>
      </c>
      <c r="L8" s="27">
        <v>989466.06351100083</v>
      </c>
      <c r="M8" s="28">
        <v>74307.834023109957</v>
      </c>
      <c r="N8" s="28">
        <v>2773.7493082700003</v>
      </c>
      <c r="O8" s="26">
        <f t="shared" si="2"/>
        <v>1066547.6468423808</v>
      </c>
      <c r="P8" s="28">
        <v>1493794.2253940003</v>
      </c>
      <c r="Q8" s="26">
        <f t="shared" si="1"/>
        <v>71.398565392169061</v>
      </c>
    </row>
    <row r="9" spans="1:17" ht="23.1" customHeight="1" x14ac:dyDescent="0.3">
      <c r="A9" s="17" t="s">
        <v>25</v>
      </c>
      <c r="B9" s="18">
        <v>83227</v>
      </c>
      <c r="C9" s="18">
        <v>144081.00000000003</v>
      </c>
      <c r="D9" s="17">
        <v>77051.097999999984</v>
      </c>
      <c r="E9" s="19">
        <v>10514030</v>
      </c>
      <c r="F9" s="18">
        <v>10336220.356000001</v>
      </c>
      <c r="G9" s="18">
        <v>13072889.805999998</v>
      </c>
      <c r="H9" s="20">
        <f t="shared" si="0"/>
        <v>79.066071154795765</v>
      </c>
      <c r="I9" s="21">
        <v>59239.114440000005</v>
      </c>
      <c r="J9" s="22">
        <v>2432.2840299999993</v>
      </c>
      <c r="K9" s="20">
        <f>IF(AND(ISBLANK(I9),ISBLANK(J9))=TRUE,"",I9+J9)</f>
        <v>61671.398470000007</v>
      </c>
      <c r="L9" s="21">
        <v>906953.92513099907</v>
      </c>
      <c r="M9" s="22">
        <v>72950.404677610015</v>
      </c>
      <c r="N9" s="22">
        <v>2724.8862547600011</v>
      </c>
      <c r="O9" s="20">
        <f t="shared" si="2"/>
        <v>982629.21606336907</v>
      </c>
      <c r="P9" s="22">
        <v>1435920.0503279991</v>
      </c>
      <c r="Q9" s="20">
        <f t="shared" si="1"/>
        <v>68.432028359720491</v>
      </c>
    </row>
    <row r="10" spans="1:17" ht="23.1" customHeight="1" x14ac:dyDescent="0.3">
      <c r="A10" s="23" t="s">
        <v>26</v>
      </c>
      <c r="B10" s="24">
        <v>77875</v>
      </c>
      <c r="C10" s="24">
        <v>134506.1933333333</v>
      </c>
      <c r="D10" s="23">
        <v>71378.84</v>
      </c>
      <c r="E10" s="25">
        <v>9704934</v>
      </c>
      <c r="F10" s="24">
        <v>9490947.1700000018</v>
      </c>
      <c r="G10" s="24">
        <v>12171655.028000001</v>
      </c>
      <c r="H10" s="26">
        <f t="shared" si="0"/>
        <v>77.9758146954278</v>
      </c>
      <c r="I10" s="27">
        <v>59216.507899999997</v>
      </c>
      <c r="J10" s="28">
        <v>2724.7526999999986</v>
      </c>
      <c r="K10" s="26">
        <f>IF(AND(ISBLANK(I10),ISBLANK(J10))=TRUE,"",I10+J10)</f>
        <v>61941.260599999994</v>
      </c>
      <c r="L10" s="27">
        <v>836376.15082899993</v>
      </c>
      <c r="M10" s="28">
        <v>72574.735060699997</v>
      </c>
      <c r="N10" s="28">
        <v>2942.156298840001</v>
      </c>
      <c r="O10" s="26">
        <f t="shared" si="2"/>
        <v>911893.04218853987</v>
      </c>
      <c r="P10" s="28">
        <v>1340844.4587499988</v>
      </c>
      <c r="Q10" s="26">
        <f t="shared" si="1"/>
        <v>68.008860851664437</v>
      </c>
    </row>
    <row r="11" spans="1:17" ht="23.1" customHeight="1" x14ac:dyDescent="0.3">
      <c r="A11" s="17" t="s">
        <v>27</v>
      </c>
      <c r="B11" s="18">
        <v>79675</v>
      </c>
      <c r="C11" s="18">
        <v>137319.61333333334</v>
      </c>
      <c r="D11" s="17">
        <v>73004.346000000005</v>
      </c>
      <c r="E11" s="19">
        <v>10115739</v>
      </c>
      <c r="F11" s="18">
        <v>9793070.9339999985</v>
      </c>
      <c r="G11" s="18">
        <v>12423133.663999999</v>
      </c>
      <c r="H11" s="20">
        <f t="shared" si="0"/>
        <v>78.8293131094496</v>
      </c>
      <c r="I11" s="21">
        <v>54290.640559999993</v>
      </c>
      <c r="J11" s="22">
        <v>2745.4173999999998</v>
      </c>
      <c r="K11" s="20">
        <f>IF(AND(ISBLANK(I11),ISBLANK(J11))=TRUE,"",I11+J11)</f>
        <v>57036.057959999991</v>
      </c>
      <c r="L11" s="21">
        <v>860982.41281168396</v>
      </c>
      <c r="M11" s="22">
        <v>66983.845075089994</v>
      </c>
      <c r="N11" s="22">
        <v>2900.9816549799998</v>
      </c>
      <c r="O11" s="20">
        <f t="shared" si="2"/>
        <v>930867.23954175389</v>
      </c>
      <c r="P11" s="22">
        <v>1366499.1475449996</v>
      </c>
      <c r="Q11" s="20">
        <f t="shared" si="1"/>
        <v>68.120586918339072</v>
      </c>
    </row>
    <row r="12" spans="1:17" ht="23.1" customHeight="1" x14ac:dyDescent="0.3">
      <c r="A12" s="23" t="s">
        <v>28</v>
      </c>
      <c r="B12" s="24">
        <v>78018</v>
      </c>
      <c r="C12" s="24">
        <v>121057.39566666666</v>
      </c>
      <c r="D12" s="23">
        <v>75411.922666666665</v>
      </c>
      <c r="E12" s="25">
        <v>10346833</v>
      </c>
      <c r="F12" s="24">
        <v>9948401.4699999988</v>
      </c>
      <c r="G12" s="24">
        <v>12176891.893000001</v>
      </c>
      <c r="H12" s="26">
        <f t="shared" si="0"/>
        <v>81.699021042626896</v>
      </c>
      <c r="I12" s="27">
        <v>55749.785769999988</v>
      </c>
      <c r="J12" s="28">
        <v>2828.3692000000005</v>
      </c>
      <c r="K12" s="28">
        <f t="shared" ref="K12:K15" si="3">IF(AND(ISBLANK(I12),ISBLANK(J12))=TRUE,"",I12+J12)</f>
        <v>58578.154969999989</v>
      </c>
      <c r="L12" s="27">
        <v>875201.50177500001</v>
      </c>
      <c r="M12" s="28">
        <v>67888.059797289956</v>
      </c>
      <c r="N12" s="28">
        <v>2961.2078971899996</v>
      </c>
      <c r="O12" s="26">
        <f t="shared" si="2"/>
        <v>946050.76946948003</v>
      </c>
      <c r="P12" s="28">
        <v>1338805.9958500003</v>
      </c>
      <c r="Q12" s="26">
        <f t="shared" si="1"/>
        <v>70.663768492375013</v>
      </c>
    </row>
    <row r="13" spans="1:17" ht="23.1" customHeight="1" x14ac:dyDescent="0.3">
      <c r="A13" s="17" t="s">
        <v>29</v>
      </c>
      <c r="B13" s="18">
        <v>84411</v>
      </c>
      <c r="C13" s="18">
        <v>146089.04323333333</v>
      </c>
      <c r="D13" s="17">
        <v>78323.664000000004</v>
      </c>
      <c r="E13" s="19">
        <v>11400977</v>
      </c>
      <c r="F13" s="18">
        <v>11114186.865000002</v>
      </c>
      <c r="G13" s="18">
        <v>13357584.147</v>
      </c>
      <c r="H13" s="22">
        <f t="shared" si="0"/>
        <v>83.205067193951791</v>
      </c>
      <c r="I13" s="21">
        <v>54819.401620000033</v>
      </c>
      <c r="J13" s="22">
        <v>2454.0774199999987</v>
      </c>
      <c r="K13" s="20">
        <f t="shared" si="3"/>
        <v>57273.479040000035</v>
      </c>
      <c r="L13" s="21">
        <v>1017086.9610270003</v>
      </c>
      <c r="M13" s="22">
        <v>77722.011433619962</v>
      </c>
      <c r="N13" s="22">
        <v>2540.8163139399981</v>
      </c>
      <c r="O13" s="20">
        <f t="shared" si="2"/>
        <v>1097349.7887745604</v>
      </c>
      <c r="P13" s="22">
        <v>1570681.6262450013</v>
      </c>
      <c r="Q13" s="20">
        <f t="shared" si="1"/>
        <v>69.86455882838419</v>
      </c>
    </row>
    <row r="14" spans="1:17" ht="23.1" customHeight="1" x14ac:dyDescent="0.3">
      <c r="A14" s="23" t="s">
        <v>30</v>
      </c>
      <c r="B14" s="24">
        <v>81994</v>
      </c>
      <c r="C14" s="24">
        <v>141711.75999999998</v>
      </c>
      <c r="D14" s="23">
        <v>74161.81</v>
      </c>
      <c r="E14" s="25">
        <v>11678582</v>
      </c>
      <c r="F14" s="24">
        <v>11309408.438999999</v>
      </c>
      <c r="G14" s="24">
        <v>12896110.379000001</v>
      </c>
      <c r="H14" s="28">
        <f t="shared" si="0"/>
        <v>87.696275129718316</v>
      </c>
      <c r="I14" s="27">
        <v>52882.422270000003</v>
      </c>
      <c r="J14" s="28">
        <v>2671.2250399999975</v>
      </c>
      <c r="K14" s="26">
        <f t="shared" si="3"/>
        <v>55553.64731</v>
      </c>
      <c r="L14" s="27">
        <v>990671.91515699937</v>
      </c>
      <c r="M14" s="28">
        <v>61211.752063069973</v>
      </c>
      <c r="N14" s="28">
        <v>2564.8167030999998</v>
      </c>
      <c r="O14" s="26">
        <f t="shared" si="2"/>
        <v>1054448.4839231693</v>
      </c>
      <c r="P14" s="28">
        <v>1417838.8795859986</v>
      </c>
      <c r="Q14" s="26">
        <f t="shared" si="1"/>
        <v>74.370120547904762</v>
      </c>
    </row>
    <row r="15" spans="1:17" ht="23.1" customHeight="1" x14ac:dyDescent="0.3">
      <c r="A15" s="30" t="s">
        <v>31</v>
      </c>
      <c r="B15" s="31">
        <v>88128</v>
      </c>
      <c r="C15" s="31">
        <v>148924.76566666667</v>
      </c>
      <c r="D15" s="32">
        <v>83787.993000000002</v>
      </c>
      <c r="E15" s="33">
        <v>12735454</v>
      </c>
      <c r="F15" s="31">
        <v>12338508.321</v>
      </c>
      <c r="G15" s="31">
        <v>13888987.929</v>
      </c>
      <c r="H15" s="34">
        <f t="shared" si="0"/>
        <v>88.836626427166649</v>
      </c>
      <c r="I15" s="35">
        <v>54378.998859999985</v>
      </c>
      <c r="J15" s="36">
        <v>2783.9212700000007</v>
      </c>
      <c r="K15" s="34">
        <f t="shared" si="3"/>
        <v>57162.920129999984</v>
      </c>
      <c r="L15" s="35">
        <v>1080393.8559990004</v>
      </c>
      <c r="M15" s="36">
        <v>62935.060183630027</v>
      </c>
      <c r="N15" s="36">
        <v>2613.0754079600042</v>
      </c>
      <c r="O15" s="34">
        <f t="shared" si="2"/>
        <v>1145941.9915905904</v>
      </c>
      <c r="P15" s="22">
        <v>1527685.7005750015</v>
      </c>
      <c r="Q15" s="20">
        <f t="shared" si="1"/>
        <v>75.011633031537343</v>
      </c>
    </row>
    <row r="16" spans="1:17" ht="23.1" customHeight="1" x14ac:dyDescent="0.3">
      <c r="A16" s="37" t="s">
        <v>32</v>
      </c>
      <c r="B16" s="38">
        <f t="shared" ref="B16:G16" si="4">SUM(B4:B15)</f>
        <v>943553</v>
      </c>
      <c r="C16" s="38">
        <f t="shared" si="4"/>
        <v>1607421.5352333332</v>
      </c>
      <c r="D16" s="38">
        <f t="shared" si="4"/>
        <v>880751.68866666663</v>
      </c>
      <c r="E16" s="38">
        <f t="shared" si="4"/>
        <v>123242014</v>
      </c>
      <c r="F16" s="38">
        <f t="shared" si="4"/>
        <v>120024143.544</v>
      </c>
      <c r="G16" s="38">
        <f t="shared" si="4"/>
        <v>147339952.87799999</v>
      </c>
      <c r="H16" s="39">
        <f t="shared" ref="H16" si="5">IFERROR(F16/G16*100," ")</f>
        <v>81.460690871390497</v>
      </c>
      <c r="I16" s="39">
        <f>SUM(I4:I15)</f>
        <v>653137.52495999984</v>
      </c>
      <c r="J16" s="39">
        <f>SUM(J4:J15)</f>
        <v>30913.209580286035</v>
      </c>
      <c r="K16" s="39">
        <f t="shared" ref="K16" si="6">IF(AND(ISBLANK(I16),ISBLANK(J16))=TRUE,"",I16+J16)</f>
        <v>684050.73454028589</v>
      </c>
      <c r="L16" s="39">
        <f>SUM(L4:L15)</f>
        <v>10566405.116178682</v>
      </c>
      <c r="M16" s="39">
        <f>SUM(M4:M15)</f>
        <v>801076.34711671981</v>
      </c>
      <c r="N16" s="39">
        <f>SUM(N4:N15)</f>
        <v>32833.405506238545</v>
      </c>
      <c r="O16" s="39">
        <f t="shared" ref="O16" si="7">IF(AND(ISBLANK(L16),ISBLANK(M16),ISBLANK(N16))=TRUE,"",L16+M16+N16)</f>
        <v>11400314.86880164</v>
      </c>
      <c r="P16" s="40">
        <f>SUM(P4:P15)</f>
        <v>16316440.258980997</v>
      </c>
      <c r="Q16" s="40">
        <f t="shared" ref="Q16" si="8">IFERROR(O16/P16*100," ")</f>
        <v>69.870110684998266</v>
      </c>
    </row>
    <row r="17" spans="1:17" ht="20.100000000000001" customHeight="1" x14ac:dyDescent="0.3">
      <c r="A17" s="104" t="s">
        <v>36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6"/>
    </row>
    <row r="18" spans="1:17" s="41" customFormat="1" x14ac:dyDescent="0.25">
      <c r="A18" s="91" t="s">
        <v>33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3"/>
    </row>
    <row r="19" spans="1:17" s="41" customFormat="1" x14ac:dyDescent="0.25">
      <c r="A19" s="91" t="s">
        <v>34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3"/>
    </row>
    <row r="20" spans="1:17" ht="51.75" customHeight="1" x14ac:dyDescent="0.3">
      <c r="A20" s="107">
        <v>2022</v>
      </c>
      <c r="B20" s="107"/>
      <c r="C20" s="108" t="s">
        <v>38</v>
      </c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9"/>
      <c r="P20" s="109"/>
      <c r="Q20" s="109"/>
    </row>
    <row r="21" spans="1:17" ht="33" customHeight="1" x14ac:dyDescent="0.3">
      <c r="A21" s="110" t="s">
        <v>0</v>
      </c>
      <c r="B21" s="112" t="s">
        <v>1</v>
      </c>
      <c r="C21" s="113"/>
      <c r="D21" s="114"/>
      <c r="E21" s="115" t="s">
        <v>2</v>
      </c>
      <c r="F21" s="115" t="s">
        <v>3</v>
      </c>
      <c r="G21" s="115" t="s">
        <v>4</v>
      </c>
      <c r="H21" s="115" t="s">
        <v>5</v>
      </c>
      <c r="I21" s="112" t="s">
        <v>6</v>
      </c>
      <c r="J21" s="113"/>
      <c r="K21" s="114"/>
      <c r="L21" s="112" t="s">
        <v>7</v>
      </c>
      <c r="M21" s="113"/>
      <c r="N21" s="113"/>
      <c r="O21" s="114"/>
      <c r="P21" s="115" t="s">
        <v>8</v>
      </c>
      <c r="Q21" s="115" t="s">
        <v>9</v>
      </c>
    </row>
    <row r="22" spans="1:17" ht="150.75" customHeight="1" x14ac:dyDescent="0.3">
      <c r="A22" s="111"/>
      <c r="B22" s="42" t="s">
        <v>10</v>
      </c>
      <c r="C22" s="42" t="s">
        <v>11</v>
      </c>
      <c r="D22" s="42" t="s">
        <v>12</v>
      </c>
      <c r="E22" s="116"/>
      <c r="F22" s="116"/>
      <c r="G22" s="116"/>
      <c r="H22" s="116"/>
      <c r="I22" s="42" t="s">
        <v>13</v>
      </c>
      <c r="J22" s="43" t="s">
        <v>14</v>
      </c>
      <c r="K22" s="42" t="s">
        <v>15</v>
      </c>
      <c r="L22" s="89" t="s">
        <v>16</v>
      </c>
      <c r="M22" s="42" t="s">
        <v>17</v>
      </c>
      <c r="N22" s="42" t="s">
        <v>18</v>
      </c>
      <c r="O22" s="42" t="s">
        <v>19</v>
      </c>
      <c r="P22" s="116"/>
      <c r="Q22" s="116"/>
    </row>
    <row r="23" spans="1:17" ht="23.1" customHeight="1" x14ac:dyDescent="0.3">
      <c r="A23" s="1" t="s">
        <v>20</v>
      </c>
      <c r="B23" s="44">
        <v>896</v>
      </c>
      <c r="C23" s="45">
        <v>1505.6333333333332</v>
      </c>
      <c r="D23" s="46">
        <v>881.53399999999999</v>
      </c>
      <c r="E23" s="44">
        <v>43916</v>
      </c>
      <c r="F23" s="45">
        <v>27694.966</v>
      </c>
      <c r="G23" s="45">
        <v>38790.036</v>
      </c>
      <c r="H23" s="47">
        <f t="shared" ref="H23:H35" si="9">IFERROR(F23/G23*100," ")</f>
        <v>71.397113423663754</v>
      </c>
      <c r="I23" s="48">
        <v>5239.0199800000009</v>
      </c>
      <c r="J23" s="49">
        <v>10.058999999999999</v>
      </c>
      <c r="K23" s="47">
        <f>IF(AND(ISBLANK(I23),ISBLANK(J23))=TRUE,"",I23+J23)</f>
        <v>5249.0789800000011</v>
      </c>
      <c r="L23" s="48">
        <v>2209.5698420000003</v>
      </c>
      <c r="M23" s="49">
        <v>6248.9138291900008</v>
      </c>
      <c r="N23" s="49">
        <v>11.038232000000001</v>
      </c>
      <c r="O23" s="47">
        <f t="shared" ref="O23:O34" si="10">IF(AND(ISBLANK(L23),ISBLANK(M23),ISBLANK(N23))=TRUE,"",L23+M23+N23)</f>
        <v>8469.5219031900015</v>
      </c>
      <c r="P23" s="48">
        <v>15327.202937999999</v>
      </c>
      <c r="Q23" s="47">
        <f t="shared" ref="Q23:Q29" si="11">IFERROR(O23/P23*100," ")</f>
        <v>55.258105066201757</v>
      </c>
    </row>
    <row r="24" spans="1:17" ht="23.1" customHeight="1" x14ac:dyDescent="0.3">
      <c r="A24" s="50" t="s">
        <v>21</v>
      </c>
      <c r="B24" s="51">
        <v>933</v>
      </c>
      <c r="C24" s="52">
        <v>1519.87</v>
      </c>
      <c r="D24" s="53">
        <v>883.32900000000006</v>
      </c>
      <c r="E24" s="51">
        <v>45657</v>
      </c>
      <c r="F24" s="52">
        <v>29669.208000000002</v>
      </c>
      <c r="G24" s="52">
        <v>40895.589999999997</v>
      </c>
      <c r="H24" s="54">
        <f t="shared" si="9"/>
        <v>72.548673341061971</v>
      </c>
      <c r="I24" s="55">
        <v>5722.4764099999993</v>
      </c>
      <c r="J24" s="56">
        <v>2</v>
      </c>
      <c r="K24" s="54">
        <f>IF(AND(ISBLANK(I24),ISBLANK(J24))=TRUE,"",I24+J24)</f>
        <v>5724.4764099999993</v>
      </c>
      <c r="L24" s="55">
        <v>2275.6658299999999</v>
      </c>
      <c r="M24" s="56">
        <v>6434.0197294500022</v>
      </c>
      <c r="N24" s="56">
        <v>4</v>
      </c>
      <c r="O24" s="54">
        <f t="shared" si="10"/>
        <v>8713.6855594500012</v>
      </c>
      <c r="P24" s="55">
        <v>15372.8986</v>
      </c>
      <c r="Q24" s="54">
        <f t="shared" si="11"/>
        <v>56.682124732482144</v>
      </c>
    </row>
    <row r="25" spans="1:17" ht="23.1" customHeight="1" x14ac:dyDescent="0.3">
      <c r="A25" s="1" t="s">
        <v>22</v>
      </c>
      <c r="B25" s="57">
        <v>1022</v>
      </c>
      <c r="C25" s="58">
        <v>1698.6966666666667</v>
      </c>
      <c r="D25" s="59">
        <v>1005.0349999999999</v>
      </c>
      <c r="E25" s="57">
        <v>53822</v>
      </c>
      <c r="F25" s="58">
        <v>39861.218999999997</v>
      </c>
      <c r="G25" s="58">
        <v>51863.917999999998</v>
      </c>
      <c r="H25" s="5">
        <f t="shared" si="9"/>
        <v>76.857323042967934</v>
      </c>
      <c r="I25" s="60">
        <v>6255.0925999999999</v>
      </c>
      <c r="J25" s="61">
        <v>1.056</v>
      </c>
      <c r="K25" s="5">
        <f>IF(AND(ISBLANK(I25),ISBLANK(J25))=TRUE,"",I25+J25)</f>
        <v>6256.1485999999995</v>
      </c>
      <c r="L25" s="60">
        <v>3109.1589250000002</v>
      </c>
      <c r="M25" s="61">
        <v>7372.3074982200005</v>
      </c>
      <c r="N25" s="61">
        <v>491.17677845000003</v>
      </c>
      <c r="O25" s="5">
        <f t="shared" si="10"/>
        <v>10972.643201670002</v>
      </c>
      <c r="P25" s="60">
        <v>21198.419035999996</v>
      </c>
      <c r="Q25" s="5">
        <f t="shared" si="11"/>
        <v>51.761611009933453</v>
      </c>
    </row>
    <row r="26" spans="1:17" ht="23.1" customHeight="1" x14ac:dyDescent="0.3">
      <c r="A26" s="50" t="s">
        <v>23</v>
      </c>
      <c r="B26" s="51">
        <v>643</v>
      </c>
      <c r="C26" s="52">
        <v>1064.8596666666665</v>
      </c>
      <c r="D26" s="53">
        <v>620.96299999999997</v>
      </c>
      <c r="E26" s="51">
        <v>30422</v>
      </c>
      <c r="F26" s="52">
        <v>22710.697999999997</v>
      </c>
      <c r="G26" s="52">
        <v>28551.329999999998</v>
      </c>
      <c r="H26" s="54">
        <f t="shared" si="9"/>
        <v>79.543397803184646</v>
      </c>
      <c r="I26" s="55">
        <v>3937.0381799999991</v>
      </c>
      <c r="J26" s="56">
        <v>11.682</v>
      </c>
      <c r="K26" s="54">
        <f>IF(AND(ISBLANK(I26),ISBLANK(J26))=TRUE,"",I26+J26)</f>
        <v>3948.7201799999989</v>
      </c>
      <c r="L26" s="55">
        <v>1927.9934189999999</v>
      </c>
      <c r="M26" s="56">
        <v>4788.8985680200003</v>
      </c>
      <c r="N26" s="56">
        <v>15.719025999999999</v>
      </c>
      <c r="O26" s="54">
        <f t="shared" si="10"/>
        <v>6732.6110130200004</v>
      </c>
      <c r="P26" s="55">
        <v>13053.390500000003</v>
      </c>
      <c r="Q26" s="54">
        <f t="shared" si="11"/>
        <v>51.577488722336149</v>
      </c>
    </row>
    <row r="27" spans="1:17" s="29" customFormat="1" ht="30" customHeight="1" x14ac:dyDescent="0.25">
      <c r="A27" s="1" t="s">
        <v>24</v>
      </c>
      <c r="B27" s="57">
        <v>767</v>
      </c>
      <c r="C27" s="62">
        <v>1211.9633333333334</v>
      </c>
      <c r="D27" s="59">
        <v>687.53699999999992</v>
      </c>
      <c r="E27" s="57">
        <v>36674</v>
      </c>
      <c r="F27" s="58">
        <v>26583.412999999997</v>
      </c>
      <c r="G27" s="58">
        <v>35451.270000000004</v>
      </c>
      <c r="H27" s="5">
        <f t="shared" si="9"/>
        <v>74.985784712367135</v>
      </c>
      <c r="I27" s="60">
        <v>4364.4740299999976</v>
      </c>
      <c r="J27" s="61">
        <v>28.146000000000001</v>
      </c>
      <c r="K27" s="5">
        <v>4392.6200299999973</v>
      </c>
      <c r="L27" s="60">
        <v>2363.7498499999997</v>
      </c>
      <c r="M27" s="61">
        <v>5194.2728635799986</v>
      </c>
      <c r="N27" s="61">
        <v>36.905484999999999</v>
      </c>
      <c r="O27" s="5">
        <f t="shared" si="10"/>
        <v>7594.928198579998</v>
      </c>
      <c r="P27" s="60">
        <v>14211.796200000001</v>
      </c>
      <c r="Q27" s="5">
        <f t="shared" si="11"/>
        <v>53.441015419148762</v>
      </c>
    </row>
    <row r="28" spans="1:17" ht="23.1" customHeight="1" x14ac:dyDescent="0.3">
      <c r="A28" s="50" t="s">
        <v>25</v>
      </c>
      <c r="B28" s="63">
        <v>730</v>
      </c>
      <c r="C28" s="64">
        <v>1181.9666666666665</v>
      </c>
      <c r="D28" s="53">
        <v>655.72399999999993</v>
      </c>
      <c r="E28" s="63">
        <v>34879</v>
      </c>
      <c r="F28" s="64">
        <v>24970.064000000002</v>
      </c>
      <c r="G28" s="64">
        <v>30851.633999999998</v>
      </c>
      <c r="H28" s="54">
        <f t="shared" si="9"/>
        <v>80.935953019538616</v>
      </c>
      <c r="I28" s="65">
        <v>4446.1163200000001</v>
      </c>
      <c r="J28" s="56">
        <v>16.129000000000001</v>
      </c>
      <c r="K28" s="54">
        <f>IF(AND(ISBLANK(I28),ISBLANK(J28))=TRUE,"",I28+J28)</f>
        <v>4462.24532</v>
      </c>
      <c r="L28" s="65">
        <v>2197.9776099999999</v>
      </c>
      <c r="M28" s="66">
        <v>5280.9393878999999</v>
      </c>
      <c r="N28" s="66">
        <v>22.395264000000001</v>
      </c>
      <c r="O28" s="54">
        <f t="shared" si="10"/>
        <v>7501.3122618999996</v>
      </c>
      <c r="P28" s="65">
        <v>13435.197000000002</v>
      </c>
      <c r="Q28" s="54">
        <f t="shared" si="11"/>
        <v>55.833288204854746</v>
      </c>
    </row>
    <row r="29" spans="1:17" ht="23.1" customHeight="1" x14ac:dyDescent="0.3">
      <c r="A29" s="1" t="s">
        <v>26</v>
      </c>
      <c r="B29" s="2">
        <v>820</v>
      </c>
      <c r="C29" s="3">
        <v>1303.413</v>
      </c>
      <c r="D29" s="4">
        <v>716.91599999999994</v>
      </c>
      <c r="E29" s="2">
        <v>50377</v>
      </c>
      <c r="F29" s="3">
        <v>32468.032000000003</v>
      </c>
      <c r="G29" s="3">
        <v>36602.060999999994</v>
      </c>
      <c r="H29" s="5">
        <f t="shared" si="9"/>
        <v>88.70547480919177</v>
      </c>
      <c r="I29" s="6">
        <v>5382.4587500000034</v>
      </c>
      <c r="J29" s="7"/>
      <c r="K29" s="5">
        <f>IF(AND(ISBLANK(I29),ISBLANK(J29))=TRUE,"",I29+J29)</f>
        <v>5382.4587500000034</v>
      </c>
      <c r="L29" s="6">
        <v>2882.8658300000006</v>
      </c>
      <c r="M29" s="7">
        <v>6793.8374817299973</v>
      </c>
      <c r="N29" s="7"/>
      <c r="O29" s="5">
        <f t="shared" si="10"/>
        <v>9676.7033117299979</v>
      </c>
      <c r="P29" s="6">
        <v>16084.09655</v>
      </c>
      <c r="Q29" s="5">
        <f t="shared" si="11"/>
        <v>60.163175977266803</v>
      </c>
    </row>
    <row r="30" spans="1:17" ht="23.1" customHeight="1" x14ac:dyDescent="0.3">
      <c r="A30" s="50" t="s">
        <v>27</v>
      </c>
      <c r="B30" s="63">
        <v>853</v>
      </c>
      <c r="C30" s="64">
        <v>1345.68</v>
      </c>
      <c r="D30" s="67">
        <v>747.12500000000011</v>
      </c>
      <c r="E30" s="63">
        <v>52413</v>
      </c>
      <c r="F30" s="64">
        <v>35406.922999999995</v>
      </c>
      <c r="G30" s="64">
        <v>40791.914000000004</v>
      </c>
      <c r="H30" s="54">
        <f t="shared" si="9"/>
        <v>86.798876365546349</v>
      </c>
      <c r="I30" s="65">
        <v>4614.6586900000002</v>
      </c>
      <c r="J30" s="66"/>
      <c r="K30" s="66">
        <f>0+(IF(AND(ISBLANK(I30),ISBLANK(J30))=TRUE,"",I30+J30))</f>
        <v>4614.6586900000002</v>
      </c>
      <c r="L30" s="65">
        <v>3152.0219299999999</v>
      </c>
      <c r="M30" s="66">
        <v>5759.4847365999976</v>
      </c>
      <c r="N30" s="66">
        <v>0.206511</v>
      </c>
      <c r="O30" s="54">
        <f t="shared" si="10"/>
        <v>8911.7131775999987</v>
      </c>
      <c r="P30" s="65">
        <v>15548.657419999998</v>
      </c>
      <c r="Q30" s="54">
        <f>0+(IFERROR(O30/P30*100," "))</f>
        <v>57.315001140465029</v>
      </c>
    </row>
    <row r="31" spans="1:17" ht="23.1" customHeight="1" x14ac:dyDescent="0.3">
      <c r="A31" s="1" t="s">
        <v>28</v>
      </c>
      <c r="B31" s="2">
        <v>848</v>
      </c>
      <c r="C31" s="3">
        <v>1060.106</v>
      </c>
      <c r="D31" s="4">
        <v>889.87200000000018</v>
      </c>
      <c r="E31" s="2">
        <v>55098</v>
      </c>
      <c r="F31" s="3">
        <v>38827.342999999993</v>
      </c>
      <c r="G31" s="3">
        <v>46619.250999999997</v>
      </c>
      <c r="H31" s="5">
        <f t="shared" si="9"/>
        <v>83.28607209927074</v>
      </c>
      <c r="I31" s="6">
        <v>4134.8276300000007</v>
      </c>
      <c r="J31" s="7">
        <v>0.255</v>
      </c>
      <c r="K31" s="5">
        <f t="shared" ref="K31:K34" si="12">0+(IF(AND(ISBLANK(I31),ISBLANK(J31))=TRUE,"",I31+J31))</f>
        <v>4135.0826300000008</v>
      </c>
      <c r="L31" s="6">
        <v>3456.9838400000008</v>
      </c>
      <c r="M31" s="7">
        <v>5028.7525128899979</v>
      </c>
      <c r="N31" s="7">
        <v>1.9841690000000001</v>
      </c>
      <c r="O31" s="5">
        <f t="shared" si="10"/>
        <v>8487.7205218899981</v>
      </c>
      <c r="P31" s="6">
        <v>14311.140389999999</v>
      </c>
      <c r="Q31" s="5">
        <f>0+(IFERROR(O31/P31*100," "))</f>
        <v>59.308484792873998</v>
      </c>
    </row>
    <row r="32" spans="1:17" ht="23.1" customHeight="1" x14ac:dyDescent="0.3">
      <c r="A32" s="50" t="s">
        <v>29</v>
      </c>
      <c r="B32" s="63">
        <v>771</v>
      </c>
      <c r="C32" s="64">
        <v>1154.0233333333335</v>
      </c>
      <c r="D32" s="67">
        <v>623.10900000000004</v>
      </c>
      <c r="E32" s="63">
        <v>55338</v>
      </c>
      <c r="F32" s="64">
        <v>38014.869999999995</v>
      </c>
      <c r="G32" s="64">
        <v>44402.207999999999</v>
      </c>
      <c r="H32" s="54">
        <f t="shared" si="9"/>
        <v>85.614818974768099</v>
      </c>
      <c r="I32" s="65">
        <v>3964.9631400000026</v>
      </c>
      <c r="J32" s="66"/>
      <c r="K32" s="54">
        <f t="shared" si="12"/>
        <v>3964.9631400000026</v>
      </c>
      <c r="L32" s="65">
        <v>3377.5733699999996</v>
      </c>
      <c r="M32" s="66">
        <v>5016.6326935099996</v>
      </c>
      <c r="N32" s="66">
        <v>1.2986439999999999</v>
      </c>
      <c r="O32" s="54">
        <f t="shared" si="10"/>
        <v>8395.5047075099992</v>
      </c>
      <c r="P32" s="65">
        <v>12802.894499999999</v>
      </c>
      <c r="Q32" s="54">
        <f>0+(IFERROR(O32/P32*100," "))</f>
        <v>65.575051856515728</v>
      </c>
    </row>
    <row r="33" spans="1:17" ht="23.1" customHeight="1" x14ac:dyDescent="0.3">
      <c r="A33" s="1" t="s">
        <v>30</v>
      </c>
      <c r="B33" s="2">
        <v>705</v>
      </c>
      <c r="C33" s="3">
        <v>1099.61666666667</v>
      </c>
      <c r="D33" s="4">
        <v>582.67999999999995</v>
      </c>
      <c r="E33" s="2">
        <v>62946</v>
      </c>
      <c r="F33" s="3">
        <v>44730.563000000016</v>
      </c>
      <c r="G33" s="3">
        <v>48445.760000000002</v>
      </c>
      <c r="H33" s="5">
        <f t="shared" si="9"/>
        <v>92.331223619982467</v>
      </c>
      <c r="I33" s="6">
        <v>2817.7551999999996</v>
      </c>
      <c r="J33" s="7">
        <v>0.40899999999999997</v>
      </c>
      <c r="K33" s="5">
        <f t="shared" si="12"/>
        <v>2818.1641999999997</v>
      </c>
      <c r="L33" s="6">
        <v>3922.4600200000004</v>
      </c>
      <c r="M33" s="7">
        <v>3438.8134641899996</v>
      </c>
      <c r="N33" s="7">
        <v>0.93454300000000001</v>
      </c>
      <c r="O33" s="5">
        <f t="shared" si="10"/>
        <v>7362.2080271900004</v>
      </c>
      <c r="P33" s="6">
        <v>11426.739899999999</v>
      </c>
      <c r="Q33" s="5">
        <f>0+(IFERROR(O33/P33*100," "))</f>
        <v>64.429645652387705</v>
      </c>
    </row>
    <row r="34" spans="1:17" ht="23.1" customHeight="1" x14ac:dyDescent="0.3">
      <c r="A34" s="50" t="s">
        <v>31</v>
      </c>
      <c r="B34" s="68">
        <v>722</v>
      </c>
      <c r="C34" s="69">
        <v>1129.7000000000003</v>
      </c>
      <c r="D34" s="70">
        <v>574.471</v>
      </c>
      <c r="E34" s="68">
        <v>64370</v>
      </c>
      <c r="F34" s="69">
        <v>45808.327000000005</v>
      </c>
      <c r="G34" s="69">
        <v>48879.896000000008</v>
      </c>
      <c r="H34" s="71">
        <f t="shared" si="9"/>
        <v>93.716089330468293</v>
      </c>
      <c r="I34" s="72">
        <v>2620.8280000000009</v>
      </c>
      <c r="J34" s="73">
        <v>7.0000000000000007E-2</v>
      </c>
      <c r="K34" s="71">
        <f t="shared" si="12"/>
        <v>2620.898000000001</v>
      </c>
      <c r="L34" s="72">
        <v>4025.8153550000002</v>
      </c>
      <c r="M34" s="73">
        <v>3242.4373489500008</v>
      </c>
      <c r="N34" s="73">
        <v>0.24357500000000001</v>
      </c>
      <c r="O34" s="5">
        <f t="shared" si="10"/>
        <v>7268.4962789500014</v>
      </c>
      <c r="P34" s="72">
        <v>11270.670700000001</v>
      </c>
      <c r="Q34" s="5">
        <f>0+(IFERROR(O34/P34*100," "))</f>
        <v>64.490361509275587</v>
      </c>
    </row>
    <row r="35" spans="1:17" ht="23.1" customHeight="1" x14ac:dyDescent="0.3">
      <c r="A35" s="74" t="s">
        <v>32</v>
      </c>
      <c r="B35" s="75">
        <f t="shared" ref="B35:G35" si="13">SUM(B23:B34)</f>
        <v>9710</v>
      </c>
      <c r="C35" s="75">
        <f t="shared" si="13"/>
        <v>15275.528666666671</v>
      </c>
      <c r="D35" s="75">
        <f t="shared" si="13"/>
        <v>8868.2950000000001</v>
      </c>
      <c r="E35" s="75">
        <f t="shared" si="13"/>
        <v>585912</v>
      </c>
      <c r="F35" s="75">
        <f t="shared" si="13"/>
        <v>406745.62599999999</v>
      </c>
      <c r="G35" s="75">
        <f t="shared" si="13"/>
        <v>492144.86799999996</v>
      </c>
      <c r="H35" s="76">
        <f t="shared" si="9"/>
        <v>82.647539870313153</v>
      </c>
      <c r="I35" s="76">
        <f>SUM(I23:I34)</f>
        <v>53499.708930000008</v>
      </c>
      <c r="J35" s="76">
        <f>SUM(J23:J34)</f>
        <v>69.805999999999997</v>
      </c>
      <c r="K35" s="76">
        <f t="shared" ref="K35" si="14">IF(AND(ISBLANK(I35),ISBLANK(J35))=TRUE,"",I35+J35)</f>
        <v>53569.514930000005</v>
      </c>
      <c r="L35" s="76">
        <f>SUM(L23:L34)</f>
        <v>34901.835821000001</v>
      </c>
      <c r="M35" s="76">
        <f>SUM(M23:M34)</f>
        <v>64599.31011423</v>
      </c>
      <c r="N35" s="76">
        <f>SUM(N23:N34)</f>
        <v>585.90222744999983</v>
      </c>
      <c r="O35" s="76">
        <f t="shared" ref="O35" si="15">IF(AND(ISBLANK(L35),ISBLANK(M35),ISBLANK(N35))=TRUE,"",L35+M35+N35)</f>
        <v>100087.04816268</v>
      </c>
      <c r="P35" s="77">
        <f>SUM(P23:P34)</f>
        <v>174043.10373399997</v>
      </c>
      <c r="Q35" s="76">
        <f t="shared" ref="Q35" si="16">IFERROR(O35/P35*100," ")</f>
        <v>57.507046251972596</v>
      </c>
    </row>
    <row r="36" spans="1:17" ht="18.75" customHeight="1" x14ac:dyDescent="0.3">
      <c r="A36" s="104" t="s">
        <v>36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6"/>
    </row>
    <row r="37" spans="1:17" x14ac:dyDescent="0.3">
      <c r="A37" s="91" t="s">
        <v>33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</row>
    <row r="38" spans="1:17" x14ac:dyDescent="0.3">
      <c r="A38" s="91" t="s">
        <v>34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</row>
    <row r="39" spans="1:17" ht="40.5" customHeight="1" x14ac:dyDescent="0.3"/>
    <row r="40" spans="1:17" ht="28.9" customHeight="1" x14ac:dyDescent="0.3">
      <c r="O40" s="8" t="s">
        <v>39</v>
      </c>
    </row>
    <row r="41" spans="1:17" ht="178.5" customHeight="1" x14ac:dyDescent="0.3">
      <c r="H41" s="78"/>
      <c r="Q41" s="78"/>
    </row>
    <row r="42" spans="1:17" ht="25.5" customHeight="1" x14ac:dyDescent="0.3"/>
    <row r="43" spans="1:17" ht="25.5" customHeight="1" x14ac:dyDescent="0.3">
      <c r="H43" s="78"/>
      <c r="Q43" s="78"/>
    </row>
    <row r="44" spans="1:17" ht="25.5" customHeight="1" x14ac:dyDescent="0.3"/>
    <row r="45" spans="1:17" ht="25.5" customHeight="1" x14ac:dyDescent="0.3">
      <c r="H45" s="78"/>
      <c r="Q45" s="78"/>
    </row>
    <row r="46" spans="1:17" ht="25.5" customHeight="1" x14ac:dyDescent="0.3"/>
    <row r="47" spans="1:17" ht="25.5" customHeight="1" x14ac:dyDescent="0.3">
      <c r="H47" s="78"/>
      <c r="Q47" s="78"/>
    </row>
    <row r="48" spans="1:17" ht="25.5" customHeight="1" x14ac:dyDescent="0.3"/>
    <row r="49" spans="8:17" ht="25.5" customHeight="1" x14ac:dyDescent="0.3">
      <c r="H49" s="78"/>
      <c r="Q49" s="78"/>
    </row>
    <row r="50" spans="8:17" ht="25.5" customHeight="1" x14ac:dyDescent="0.3"/>
    <row r="51" spans="8:17" ht="25.5" customHeight="1" x14ac:dyDescent="0.3">
      <c r="H51" s="78"/>
      <c r="Q51" s="78"/>
    </row>
    <row r="52" spans="8:17" ht="25.5" customHeight="1" x14ac:dyDescent="0.3"/>
    <row r="53" spans="8:17" ht="25.5" customHeight="1" x14ac:dyDescent="0.3">
      <c r="H53" s="78"/>
      <c r="Q53" s="78"/>
    </row>
    <row r="54" spans="8:17" ht="25.5" customHeight="1" x14ac:dyDescent="0.3"/>
    <row r="55" spans="8:17" ht="22.5" customHeight="1" x14ac:dyDescent="0.3">
      <c r="H55" s="78"/>
      <c r="Q55" s="78"/>
    </row>
    <row r="56" spans="8:17" ht="22.5" customHeight="1" x14ac:dyDescent="0.3"/>
    <row r="57" spans="8:17" ht="22.5" customHeight="1" x14ac:dyDescent="0.3">
      <c r="H57" s="78"/>
      <c r="Q57" s="78"/>
    </row>
    <row r="58" spans="8:17" ht="47.25" customHeight="1" x14ac:dyDescent="0.3">
      <c r="H58" s="78"/>
      <c r="Q58" s="78"/>
    </row>
    <row r="59" spans="8:17" ht="28.9" customHeight="1" x14ac:dyDescent="0.3">
      <c r="H59" s="78"/>
      <c r="Q59" s="78"/>
    </row>
    <row r="60" spans="8:17" ht="164.25" customHeight="1" x14ac:dyDescent="0.3">
      <c r="H60" s="78"/>
      <c r="Q60" s="78"/>
    </row>
    <row r="61" spans="8:17" ht="24.75" customHeight="1" x14ac:dyDescent="0.3">
      <c r="H61" s="78"/>
      <c r="Q61" s="78"/>
    </row>
    <row r="62" spans="8:17" ht="24.75" customHeight="1" x14ac:dyDescent="0.3">
      <c r="H62" s="78"/>
      <c r="Q62" s="78"/>
    </row>
    <row r="63" spans="8:17" ht="24.75" customHeight="1" x14ac:dyDescent="0.3">
      <c r="H63" s="78"/>
      <c r="Q63" s="78"/>
    </row>
    <row r="64" spans="8:17" ht="24.75" customHeight="1" x14ac:dyDescent="0.3"/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83" spans="8:17" x14ac:dyDescent="0.3">
      <c r="H83" s="78"/>
      <c r="Q83" s="78"/>
    </row>
    <row r="86" spans="8:17" x14ac:dyDescent="0.3">
      <c r="H86" s="78"/>
      <c r="Q86" s="78"/>
    </row>
    <row r="88" spans="8:17" x14ac:dyDescent="0.3">
      <c r="H88" s="78"/>
      <c r="Q88" s="78"/>
    </row>
    <row r="90" spans="8:17" x14ac:dyDescent="0.3">
      <c r="H90" s="78"/>
      <c r="Q90" s="78"/>
    </row>
    <row r="92" spans="8:17" x14ac:dyDescent="0.3">
      <c r="H92" s="78"/>
      <c r="Q92" s="78"/>
    </row>
    <row r="94" spans="8:17" x14ac:dyDescent="0.3">
      <c r="H94" s="78"/>
      <c r="Q94" s="78"/>
    </row>
    <row r="96" spans="8:17" x14ac:dyDescent="0.3">
      <c r="H96" s="78"/>
      <c r="Q96" s="78"/>
    </row>
    <row r="98" spans="8:17" x14ac:dyDescent="0.3">
      <c r="H98" s="78"/>
      <c r="Q98" s="78"/>
    </row>
    <row r="100" spans="8:17" x14ac:dyDescent="0.3">
      <c r="H100" s="78"/>
      <c r="Q100" s="78"/>
    </row>
    <row r="102" spans="8:17" x14ac:dyDescent="0.3">
      <c r="H102" s="78"/>
      <c r="Q102" s="78"/>
    </row>
    <row r="103" spans="8:17" x14ac:dyDescent="0.3">
      <c r="Q103" s="78"/>
    </row>
    <row r="104" spans="8:17" x14ac:dyDescent="0.3">
      <c r="H104" s="78"/>
      <c r="Q104" s="78"/>
    </row>
    <row r="105" spans="8:17" x14ac:dyDescent="0.3">
      <c r="H105" s="78"/>
      <c r="Q105" s="78"/>
    </row>
    <row r="106" spans="8:17" x14ac:dyDescent="0.3">
      <c r="H106" s="78"/>
      <c r="Q106" s="78"/>
    </row>
    <row r="107" spans="8:17" x14ac:dyDescent="0.3">
      <c r="H107" s="78"/>
      <c r="Q107" s="78"/>
    </row>
    <row r="108" spans="8:17" x14ac:dyDescent="0.3">
      <c r="H108" s="78"/>
      <c r="Q108" s="78"/>
    </row>
    <row r="131" spans="8:17" x14ac:dyDescent="0.3">
      <c r="H131" s="78"/>
      <c r="Q131" s="78"/>
    </row>
    <row r="134" spans="8:17" x14ac:dyDescent="0.3">
      <c r="H134" s="78"/>
      <c r="Q134" s="78"/>
    </row>
    <row r="136" spans="8:17" x14ac:dyDescent="0.3">
      <c r="H136" s="78"/>
      <c r="Q136" s="78"/>
    </row>
    <row r="138" spans="8:17" x14ac:dyDescent="0.3">
      <c r="H138" s="78"/>
      <c r="Q138" s="78"/>
    </row>
    <row r="140" spans="8:17" x14ac:dyDescent="0.3">
      <c r="H140" s="78"/>
      <c r="Q140" s="78"/>
    </row>
    <row r="142" spans="8:17" x14ac:dyDescent="0.3">
      <c r="H142" s="78"/>
      <c r="Q142" s="78"/>
    </row>
    <row r="144" spans="8:17" x14ac:dyDescent="0.3">
      <c r="H144" s="78"/>
      <c r="Q144" s="78"/>
    </row>
    <row r="146" spans="8:17" x14ac:dyDescent="0.3">
      <c r="H146" s="78"/>
      <c r="Q146" s="78"/>
    </row>
    <row r="148" spans="8:17" x14ac:dyDescent="0.3">
      <c r="H148" s="78"/>
      <c r="Q148" s="78"/>
    </row>
    <row r="150" spans="8:17" x14ac:dyDescent="0.3">
      <c r="H150" s="78"/>
      <c r="Q150" s="78"/>
    </row>
    <row r="152" spans="8:17" x14ac:dyDescent="0.3">
      <c r="H152" s="78"/>
      <c r="Q152" s="78"/>
    </row>
    <row r="154" spans="8:17" x14ac:dyDescent="0.3">
      <c r="H154" s="78"/>
      <c r="Q154" s="78"/>
    </row>
    <row r="156" spans="8:17" x14ac:dyDescent="0.3">
      <c r="H156" s="78"/>
      <c r="Q156" s="78"/>
    </row>
    <row r="179" spans="8:17" x14ac:dyDescent="0.3">
      <c r="H179" s="78"/>
      <c r="Q179" s="78"/>
    </row>
    <row r="181" spans="8:17" x14ac:dyDescent="0.3">
      <c r="H181" s="78"/>
      <c r="Q181" s="78"/>
    </row>
    <row r="182" spans="8:17" x14ac:dyDescent="0.3">
      <c r="H182" s="78"/>
      <c r="Q182" s="78"/>
    </row>
    <row r="183" spans="8:17" x14ac:dyDescent="0.3">
      <c r="H183" s="78"/>
      <c r="Q183" s="78"/>
    </row>
    <row r="184" spans="8:17" x14ac:dyDescent="0.3">
      <c r="H184" s="78"/>
      <c r="Q184" s="78"/>
    </row>
    <row r="185" spans="8:17" x14ac:dyDescent="0.3">
      <c r="H185" s="78"/>
      <c r="Q185" s="78"/>
    </row>
    <row r="186" spans="8:17" x14ac:dyDescent="0.3">
      <c r="H186" s="78"/>
      <c r="Q186" s="78"/>
    </row>
    <row r="187" spans="8:17" x14ac:dyDescent="0.3">
      <c r="H187" s="78"/>
      <c r="Q187" s="78"/>
    </row>
    <row r="188" spans="8:17" x14ac:dyDescent="0.3">
      <c r="H188" s="78"/>
      <c r="Q188" s="78"/>
    </row>
    <row r="189" spans="8:17" x14ac:dyDescent="0.3">
      <c r="H189" s="78"/>
      <c r="Q189" s="78"/>
    </row>
    <row r="190" spans="8:17" x14ac:dyDescent="0.3">
      <c r="H190" s="78"/>
      <c r="Q190" s="78"/>
    </row>
    <row r="191" spans="8:17" x14ac:dyDescent="0.3">
      <c r="H191" s="78"/>
      <c r="Q191" s="78"/>
    </row>
    <row r="192" spans="8:17" x14ac:dyDescent="0.3">
      <c r="H192" s="78"/>
      <c r="Q192" s="78"/>
    </row>
    <row r="193" spans="8:17" x14ac:dyDescent="0.3">
      <c r="H193" s="78"/>
      <c r="Q193" s="78"/>
    </row>
    <row r="194" spans="8:17" x14ac:dyDescent="0.3">
      <c r="H194" s="78"/>
      <c r="Q194" s="78"/>
    </row>
    <row r="195" spans="8:17" x14ac:dyDescent="0.3">
      <c r="H195" s="78"/>
      <c r="Q195" s="78"/>
    </row>
    <row r="196" spans="8:17" x14ac:dyDescent="0.3">
      <c r="H196" s="78"/>
      <c r="Q196" s="78"/>
    </row>
    <row r="197" spans="8:17" x14ac:dyDescent="0.3">
      <c r="H197" s="78"/>
      <c r="Q197" s="78"/>
    </row>
    <row r="198" spans="8:17" x14ac:dyDescent="0.3">
      <c r="H198" s="78"/>
      <c r="Q198" s="78"/>
    </row>
    <row r="199" spans="8:17" x14ac:dyDescent="0.3">
      <c r="H199" s="78"/>
      <c r="Q199" s="78"/>
    </row>
    <row r="200" spans="8:17" x14ac:dyDescent="0.3">
      <c r="H200" s="78"/>
      <c r="Q200" s="78"/>
    </row>
    <row r="201" spans="8:17" x14ac:dyDescent="0.3">
      <c r="H201" s="78"/>
      <c r="Q201" s="78"/>
    </row>
    <row r="202" spans="8:17" x14ac:dyDescent="0.3">
      <c r="H202" s="78"/>
      <c r="Q202" s="78"/>
    </row>
    <row r="203" spans="8:17" x14ac:dyDescent="0.3">
      <c r="H203" s="78"/>
      <c r="Q203" s="78"/>
    </row>
    <row r="204" spans="8:17" x14ac:dyDescent="0.3">
      <c r="H204" s="78"/>
      <c r="Q204" s="78"/>
    </row>
    <row r="227" spans="8:17" x14ac:dyDescent="0.3">
      <c r="H227" s="78"/>
      <c r="Q227" s="78"/>
    </row>
    <row r="230" spans="8:17" x14ac:dyDescent="0.3">
      <c r="H230" s="78"/>
      <c r="Q230" s="78"/>
    </row>
    <row r="232" spans="8:17" x14ac:dyDescent="0.3">
      <c r="H232" s="78"/>
      <c r="Q232" s="78"/>
    </row>
    <row r="233" spans="8:17" x14ac:dyDescent="0.3">
      <c r="H233" s="78"/>
    </row>
    <row r="234" spans="8:17" x14ac:dyDescent="0.3">
      <c r="H234" s="78"/>
      <c r="Q234" s="78"/>
    </row>
    <row r="236" spans="8:17" x14ac:dyDescent="0.3">
      <c r="H236" s="78"/>
      <c r="Q236" s="78"/>
    </row>
    <row r="238" spans="8:17" x14ac:dyDescent="0.3">
      <c r="H238" s="78"/>
      <c r="Q238" s="78"/>
    </row>
    <row r="240" spans="8:17" x14ac:dyDescent="0.3">
      <c r="H240" s="78"/>
      <c r="Q240" s="78"/>
    </row>
    <row r="242" spans="8:17" x14ac:dyDescent="0.3">
      <c r="H242" s="78"/>
      <c r="Q242" s="78"/>
    </row>
    <row r="244" spans="8:17" x14ac:dyDescent="0.3">
      <c r="H244" s="78"/>
      <c r="Q244" s="78"/>
    </row>
    <row r="246" spans="8:17" x14ac:dyDescent="0.3">
      <c r="H246" s="78"/>
      <c r="Q246" s="78"/>
    </row>
    <row r="247" spans="8:17" x14ac:dyDescent="0.3">
      <c r="H247" s="78"/>
      <c r="Q247" s="78"/>
    </row>
    <row r="248" spans="8:17" x14ac:dyDescent="0.3">
      <c r="H248" s="78"/>
      <c r="Q248" s="78"/>
    </row>
    <row r="249" spans="8:17" x14ac:dyDescent="0.3">
      <c r="H249" s="78"/>
      <c r="Q249" s="78"/>
    </row>
    <row r="250" spans="8:17" x14ac:dyDescent="0.3">
      <c r="H250" s="78"/>
      <c r="Q250" s="78"/>
    </row>
    <row r="251" spans="8:17" x14ac:dyDescent="0.3">
      <c r="H251" s="78"/>
      <c r="Q251" s="78"/>
    </row>
    <row r="252" spans="8:17" x14ac:dyDescent="0.3">
      <c r="H252" s="78"/>
      <c r="Q252" s="78"/>
    </row>
    <row r="254" spans="8:17" x14ac:dyDescent="0.3">
      <c r="H254" s="78"/>
    </row>
    <row r="273" spans="8:17" x14ac:dyDescent="0.3">
      <c r="H273" s="78"/>
      <c r="Q273" s="78"/>
    </row>
    <row r="276" spans="8:17" x14ac:dyDescent="0.3">
      <c r="H276" s="78"/>
      <c r="Q276" s="78"/>
    </row>
    <row r="278" spans="8:17" x14ac:dyDescent="0.3">
      <c r="H278" s="78"/>
      <c r="Q278" s="78"/>
    </row>
    <row r="280" spans="8:17" x14ac:dyDescent="0.3">
      <c r="H280" s="78"/>
      <c r="Q280" s="78"/>
    </row>
    <row r="282" spans="8:17" x14ac:dyDescent="0.3">
      <c r="H282" s="78"/>
      <c r="Q282" s="78"/>
    </row>
    <row r="284" spans="8:17" x14ac:dyDescent="0.3">
      <c r="H284" s="78"/>
      <c r="Q284" s="78"/>
    </row>
    <row r="286" spans="8:17" x14ac:dyDescent="0.3">
      <c r="H286" s="78"/>
      <c r="Q286" s="78"/>
    </row>
    <row r="288" spans="8:17" x14ac:dyDescent="0.3">
      <c r="H288" s="78"/>
      <c r="Q288" s="78"/>
    </row>
    <row r="290" spans="8:17" x14ac:dyDescent="0.3">
      <c r="H290" s="78"/>
      <c r="Q290" s="78"/>
    </row>
    <row r="292" spans="8:17" x14ac:dyDescent="0.3">
      <c r="H292" s="78"/>
      <c r="Q292" s="78"/>
    </row>
    <row r="294" spans="8:17" x14ac:dyDescent="0.3">
      <c r="H294" s="78"/>
      <c r="Q294" s="78"/>
    </row>
    <row r="296" spans="8:17" x14ac:dyDescent="0.3">
      <c r="H296" s="78"/>
      <c r="Q296" s="78"/>
    </row>
    <row r="298" spans="8:17" x14ac:dyDescent="0.3">
      <c r="H298" s="78"/>
      <c r="Q298" s="78"/>
    </row>
    <row r="324" spans="8:17" x14ac:dyDescent="0.3">
      <c r="Q324" s="78"/>
    </row>
    <row r="326" spans="8:17" x14ac:dyDescent="0.3">
      <c r="H326" s="78"/>
      <c r="Q326" s="78"/>
    </row>
    <row r="328" spans="8:17" x14ac:dyDescent="0.3">
      <c r="H328" s="78"/>
    </row>
    <row r="330" spans="8:17" x14ac:dyDescent="0.3">
      <c r="H330" s="78"/>
      <c r="Q330" s="78"/>
    </row>
    <row r="358" spans="8:17" x14ac:dyDescent="0.3">
      <c r="H358" s="78"/>
    </row>
    <row r="360" spans="8:17" x14ac:dyDescent="0.3">
      <c r="Q360" s="78"/>
    </row>
    <row r="361" spans="8:17" x14ac:dyDescent="0.3">
      <c r="Q361" s="78"/>
    </row>
    <row r="362" spans="8:17" x14ac:dyDescent="0.3">
      <c r="Q362" s="78"/>
    </row>
    <row r="363" spans="8:17" x14ac:dyDescent="0.3">
      <c r="Q363" s="78"/>
    </row>
    <row r="364" spans="8:17" x14ac:dyDescent="0.3">
      <c r="H364" s="78"/>
      <c r="Q364" s="78"/>
    </row>
    <row r="366" spans="8:17" x14ac:dyDescent="0.3">
      <c r="H366" s="78"/>
      <c r="Q366" s="78"/>
    </row>
    <row r="369" spans="17:17" x14ac:dyDescent="0.3">
      <c r="Q369" s="78"/>
    </row>
    <row r="393" spans="8:17" x14ac:dyDescent="0.3">
      <c r="Q393" s="78"/>
    </row>
    <row r="394" spans="8:17" x14ac:dyDescent="0.3">
      <c r="H394" s="78"/>
      <c r="Q394" s="78"/>
    </row>
    <row r="395" spans="8:17" x14ac:dyDescent="0.3">
      <c r="H395" s="78"/>
      <c r="Q395" s="78"/>
    </row>
    <row r="396" spans="8:17" x14ac:dyDescent="0.3">
      <c r="H396" s="78"/>
      <c r="Q396" s="78"/>
    </row>
    <row r="397" spans="8:17" x14ac:dyDescent="0.3">
      <c r="H397" s="78"/>
      <c r="Q397" s="78"/>
    </row>
    <row r="398" spans="8:17" x14ac:dyDescent="0.3">
      <c r="H398" s="78"/>
      <c r="Q398" s="78"/>
    </row>
    <row r="399" spans="8:17" x14ac:dyDescent="0.3">
      <c r="H399" s="78"/>
      <c r="Q399" s="78"/>
    </row>
    <row r="401" spans="8:17" x14ac:dyDescent="0.3">
      <c r="H401" s="78"/>
      <c r="Q401" s="78"/>
    </row>
    <row r="455" spans="13:13" x14ac:dyDescent="0.3">
      <c r="M455" s="79"/>
    </row>
    <row r="456" spans="13:13" x14ac:dyDescent="0.3">
      <c r="M456" s="8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0866141732283472" right="0.70866141732283472" top="0.74803149606299213" bottom="0.51181102362204722" header="0.31496062992125984" footer="0.31496062992125984"/>
  <pageSetup scale="61" firstPageNumber="76" orientation="landscape" useFirstPageNumber="1" r:id="rId1"/>
  <headerFooter alignWithMargins="0"/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2023-01-20T12:12:51Z</cp:lastPrinted>
  <dcterms:created xsi:type="dcterms:W3CDTF">2021-03-02T10:01:37Z</dcterms:created>
  <dcterms:modified xsi:type="dcterms:W3CDTF">2023-01-24T05:41:01Z</dcterms:modified>
</cp:coreProperties>
</file>