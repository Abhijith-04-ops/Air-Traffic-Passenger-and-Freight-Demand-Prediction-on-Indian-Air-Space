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MONTHWISE!$A$1:$N$67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N13" i="2" l="1"/>
  <c r="M13" i="2"/>
  <c r="L13" i="2"/>
  <c r="K13" i="2"/>
  <c r="J13" i="2"/>
  <c r="I13" i="2"/>
  <c r="H13" i="2"/>
  <c r="F13" i="2"/>
  <c r="E13" i="2"/>
  <c r="D13" i="2"/>
  <c r="C13" i="2"/>
  <c r="G13" i="2"/>
  <c r="D63" i="2" l="1"/>
  <c r="D64" i="2" s="1"/>
  <c r="E63" i="2"/>
  <c r="E64" i="2" s="1"/>
  <c r="F63" i="2"/>
  <c r="F64" i="2" s="1"/>
  <c r="G63" i="2"/>
  <c r="G64" i="2" s="1"/>
  <c r="H63" i="2"/>
  <c r="H64" i="2" s="1"/>
  <c r="I63" i="2"/>
  <c r="I64" i="2" s="1"/>
  <c r="J63" i="2"/>
  <c r="J64" i="2" s="1"/>
  <c r="K63" i="2"/>
  <c r="K64" i="2" s="1"/>
  <c r="L63" i="2"/>
  <c r="L64" i="2" s="1"/>
  <c r="M63" i="2"/>
  <c r="M64" i="2" s="1"/>
  <c r="N63" i="2"/>
  <c r="N64" i="2" s="1"/>
  <c r="C63" i="2"/>
  <c r="C64" i="2" l="1"/>
</calcChain>
</file>

<file path=xl/sharedStrings.xml><?xml version="1.0" encoding="utf-8"?>
<sst xmlns="http://schemas.openxmlformats.org/spreadsheetml/2006/main" count="82" uniqueCount="74">
  <si>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</si>
  <si>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</si>
  <si>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</si>
  <si>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</si>
  <si>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</si>
  <si>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</si>
  <si>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</si>
  <si>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</si>
  <si>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ARIANA AFGHAN</t>
  </si>
  <si>
    <t>BIMAN BANGLADESH</t>
  </si>
  <si>
    <t>CATHAY PACIFIC</t>
  </si>
  <si>
    <t>CHINA AIRLINES LTD</t>
  </si>
  <si>
    <t>DRAGON AIR</t>
  </si>
  <si>
    <t>DRUK AIR</t>
  </si>
  <si>
    <t>EL-AL-ISRAEL</t>
  </si>
  <si>
    <t>ETIHAD AIRLINES</t>
  </si>
  <si>
    <t>FEDERAL EXPRESS</t>
  </si>
  <si>
    <t>IRAN AIR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</si>
  <si>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</si>
  <si>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</si>
  <si>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</si>
  <si>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</si>
  <si>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</si>
  <si>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</si>
  <si>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</si>
  <si>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</si>
  <si>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</si>
  <si>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</si>
  <si>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SINGAPORE AIRLINES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</si>
  <si>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</si>
  <si>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</si>
  <si>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</si>
  <si>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</si>
  <si>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</si>
  <si>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</si>
  <si>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</si>
  <si>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</si>
  <si>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</si>
  <si>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</si>
  <si>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</si>
  <si>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</si>
  <si>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</si>
  <si>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</si>
  <si>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Note: 1. This table does not include the passengers and freight carried by domestic carriers entirely outside the Indian territory.</t>
  </si>
  <si>
    <t>SCOOT TIGER AIR</t>
  </si>
  <si>
    <t>SL. No.</t>
  </si>
  <si>
    <t>EMIRATES AIRLINE</t>
  </si>
  <si>
    <t>ETHIOPIAN AIRLINES</t>
  </si>
  <si>
    <t>GULF AIR</t>
  </si>
  <si>
    <t>SWISS AIR</t>
  </si>
  <si>
    <t>VISTARA AIRLINES</t>
  </si>
  <si>
    <t>AIR ASTANA</t>
  </si>
  <si>
    <t>AIR CANADA</t>
  </si>
  <si>
    <t>AIR FRANCE</t>
  </si>
  <si>
    <t>BRITISH AIRWAYS</t>
  </si>
  <si>
    <t>KAM AIR</t>
  </si>
  <si>
    <t>KLM AIRLINES</t>
  </si>
  <si>
    <t>RWANDAIR</t>
  </si>
  <si>
    <t>US BANGLA AIRLINES</t>
  </si>
  <si>
    <t>AIR SEYCHELLES</t>
  </si>
  <si>
    <t>THAI AIRWAYS</t>
  </si>
  <si>
    <t>ALL NIPPON AIRWAYS</t>
  </si>
  <si>
    <t>NEPAL AIRLINES CORPORATION</t>
  </si>
  <si>
    <t>THAI SMILE AIRWAYS</t>
  </si>
  <si>
    <t xml:space="preserve">OCTOBER </t>
  </si>
  <si>
    <t>NOVEMBER</t>
  </si>
  <si>
    <t>DECEMBER</t>
  </si>
  <si>
    <t>AIR INDIA EXPRESS</t>
  </si>
  <si>
    <t>BLUE DART AVIATION</t>
  </si>
  <si>
    <t>GO AIR</t>
  </si>
  <si>
    <t>INDIGO</t>
  </si>
  <si>
    <t>SPICEJET</t>
  </si>
  <si>
    <t>TABLE 2. AIRLINEWISE MONTHLY INTERNATIONAL TRAFFIC STATISTICS FOR THE QUARTER OCTOBER-DECEMBER 2020 (P)</t>
  </si>
  <si>
    <t>Note: 2. In wake of Covid-19 all International Scheduled operations carried by Indian carriers have been suspended as per DGCA's Circular dated 26-03-2020.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</si>
</sst>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164" fontId="9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164" fontId="9" fillId="0" borderId="1" xfId="0" applyNumberFormat="1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view="pageBreakPreview" topLeftCell="A47" zoomScale="70" zoomScaleNormal="55" zoomScaleSheetLayoutView="70" workbookViewId="0">
      <selection activeCell="K64" activeCellId="2" sqref="C64:D64 G64:H64 K64:L64"/>
    </sheetView>
  </sheetViews>
  <sheetFormatPr defaultRowHeight="15" x14ac:dyDescent="0.25"/>
  <cols>
    <col min="1" max="1" width="9" customWidth="1"/>
    <col min="2" max="2" width="41.5703125" style="4" customWidth="1"/>
    <col min="3" max="3" width="11.85546875" customWidth="1"/>
    <col min="4" max="4" width="13.28515625" customWidth="1"/>
    <col min="5" max="6" width="16.7109375" customWidth="1"/>
    <col min="7" max="7" width="12.28515625" customWidth="1"/>
    <col min="8" max="8" width="16.7109375" customWidth="1"/>
    <col min="9" max="9" width="13.28515625" customWidth="1"/>
    <col min="10" max="11" width="16.7109375" customWidth="1"/>
    <col min="12" max="12" width="12.5703125" customWidth="1"/>
    <col min="13" max="13" width="11.7109375" customWidth="1"/>
    <col min="14" max="14" width="13.140625" customWidth="1"/>
    <col min="15" max="25" width="12.42578125" customWidth="1"/>
  </cols>
  <sheetData>
    <row r="1" spans="1:14" ht="40.5" customHeight="1" x14ac:dyDescent="0.25">
      <c r="A1" s="22" t="s">
        <v>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1" customFormat="1" ht="25.5" customHeight="1" x14ac:dyDescent="0.25">
      <c r="A2" s="23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1" customHeight="1" x14ac:dyDescent="0.25">
      <c r="A3" s="24" t="s">
        <v>45</v>
      </c>
      <c r="B3" s="25" t="s">
        <v>0</v>
      </c>
      <c r="C3" s="24" t="s">
        <v>64</v>
      </c>
      <c r="D3" s="24"/>
      <c r="E3" s="24"/>
      <c r="F3" s="24"/>
      <c r="G3" s="24" t="s">
        <v>65</v>
      </c>
      <c r="H3" s="24"/>
      <c r="I3" s="24"/>
      <c r="J3" s="24"/>
      <c r="K3" s="24" t="s">
        <v>66</v>
      </c>
      <c r="L3" s="24"/>
      <c r="M3" s="24"/>
      <c r="N3" s="24"/>
    </row>
    <row r="4" spans="1:14" ht="42" customHeight="1" x14ac:dyDescent="0.25">
      <c r="A4" s="24"/>
      <c r="B4" s="25"/>
      <c r="C4" s="2" t="s">
        <v>37</v>
      </c>
      <c r="D4" s="2" t="s">
        <v>38</v>
      </c>
      <c r="E4" s="2" t="s">
        <v>39</v>
      </c>
      <c r="F4" s="2" t="s">
        <v>40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37</v>
      </c>
      <c r="L4" s="2" t="s">
        <v>38</v>
      </c>
      <c r="M4" s="2" t="s">
        <v>39</v>
      </c>
      <c r="N4" s="2" t="s">
        <v>40</v>
      </c>
    </row>
    <row r="5" spans="1:14" ht="27" customHeight="1" x14ac:dyDescent="0.25">
      <c r="A5" s="27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s="21" customFormat="1" ht="19.5" customHeight="1" x14ac:dyDescent="0.3">
      <c r="A6" s="20">
        <v>1</v>
      </c>
      <c r="B6" s="9" t="s">
        <v>2</v>
      </c>
      <c r="C6" s="10">
        <v>62293</v>
      </c>
      <c r="D6" s="10">
        <v>57566</v>
      </c>
      <c r="E6" s="11">
        <v>1507.7491</v>
      </c>
      <c r="F6" s="11">
        <v>2247.3528000000001</v>
      </c>
      <c r="G6" s="10">
        <v>84171</v>
      </c>
      <c r="H6" s="10">
        <v>54879</v>
      </c>
      <c r="I6" s="11">
        <v>1930.2648000000004</v>
      </c>
      <c r="J6" s="11">
        <v>2743.3452000000007</v>
      </c>
      <c r="K6" s="10">
        <v>97566</v>
      </c>
      <c r="L6" s="10">
        <v>70500</v>
      </c>
      <c r="M6" s="11">
        <v>2110.6726000000008</v>
      </c>
      <c r="N6" s="11">
        <v>2530.0410999999999</v>
      </c>
    </row>
    <row r="7" spans="1:14" s="21" customFormat="1" ht="19.5" customHeight="1" x14ac:dyDescent="0.3">
      <c r="A7" s="20">
        <v>2</v>
      </c>
      <c r="B7" s="12" t="s">
        <v>67</v>
      </c>
      <c r="C7" s="10">
        <v>72741</v>
      </c>
      <c r="D7" s="10">
        <v>54121</v>
      </c>
      <c r="E7" s="13">
        <v>49.667999999999999</v>
      </c>
      <c r="F7" s="13">
        <v>1209.2760000000001</v>
      </c>
      <c r="G7" s="10">
        <v>97206</v>
      </c>
      <c r="H7" s="10">
        <v>61820</v>
      </c>
      <c r="I7" s="11">
        <v>42.878</v>
      </c>
      <c r="J7" s="11">
        <v>1081.5550000000001</v>
      </c>
      <c r="K7" s="10">
        <v>110398</v>
      </c>
      <c r="L7" s="10">
        <v>90859</v>
      </c>
      <c r="M7" s="11">
        <v>69.278000000000006</v>
      </c>
      <c r="N7" s="11">
        <v>1045.3409999999999</v>
      </c>
    </row>
    <row r="8" spans="1:14" s="21" customFormat="1" ht="19.5" customHeight="1" x14ac:dyDescent="0.3">
      <c r="A8" s="20">
        <v>3</v>
      </c>
      <c r="B8" s="9" t="s">
        <v>68</v>
      </c>
      <c r="C8" s="10">
        <v>0</v>
      </c>
      <c r="D8" s="10"/>
      <c r="E8" s="11">
        <v>41.067</v>
      </c>
      <c r="F8" s="11">
        <v>5.7640000000000002</v>
      </c>
      <c r="G8" s="10">
        <v>0</v>
      </c>
      <c r="H8" s="10"/>
      <c r="I8" s="11">
        <v>149.97999999999999</v>
      </c>
      <c r="J8" s="11">
        <v>6.07</v>
      </c>
      <c r="K8" s="14">
        <v>0</v>
      </c>
      <c r="L8" s="14">
        <v>0</v>
      </c>
      <c r="M8" s="13">
        <v>79.597999999999999</v>
      </c>
      <c r="N8" s="13">
        <v>5.7670000000000003</v>
      </c>
    </row>
    <row r="9" spans="1:14" s="21" customFormat="1" ht="19.5" customHeight="1" x14ac:dyDescent="0.3">
      <c r="A9" s="20">
        <v>4</v>
      </c>
      <c r="B9" s="9" t="s">
        <v>69</v>
      </c>
      <c r="C9" s="10">
        <v>21502</v>
      </c>
      <c r="D9" s="10">
        <v>9444</v>
      </c>
      <c r="E9" s="11">
        <v>10.711</v>
      </c>
      <c r="F9" s="11">
        <v>48.673000000000002</v>
      </c>
      <c r="G9" s="10">
        <v>25121</v>
      </c>
      <c r="H9" s="10">
        <v>13977</v>
      </c>
      <c r="I9" s="11">
        <v>2.4279999999999999</v>
      </c>
      <c r="J9" s="11">
        <v>66.842500000000001</v>
      </c>
      <c r="K9" s="10">
        <v>27559</v>
      </c>
      <c r="L9" s="10">
        <v>19435</v>
      </c>
      <c r="M9" s="11">
        <v>0</v>
      </c>
      <c r="N9" s="11">
        <v>104.5735</v>
      </c>
    </row>
    <row r="10" spans="1:14" s="21" customFormat="1" ht="19.5" customHeight="1" x14ac:dyDescent="0.3">
      <c r="A10" s="20">
        <v>5</v>
      </c>
      <c r="B10" s="9" t="s">
        <v>70</v>
      </c>
      <c r="C10" s="10">
        <v>73705</v>
      </c>
      <c r="D10" s="10">
        <v>54587</v>
      </c>
      <c r="E10" s="11">
        <v>58.295000000000002</v>
      </c>
      <c r="F10" s="11">
        <v>546.18299999999999</v>
      </c>
      <c r="G10" s="10">
        <v>83893</v>
      </c>
      <c r="H10" s="10">
        <v>58193</v>
      </c>
      <c r="I10" s="11">
        <v>77.382000000000005</v>
      </c>
      <c r="J10" s="11">
        <v>610.83100000000002</v>
      </c>
      <c r="K10" s="10">
        <v>90924</v>
      </c>
      <c r="L10" s="10">
        <v>81153</v>
      </c>
      <c r="M10" s="11">
        <v>0</v>
      </c>
      <c r="N10" s="11">
        <v>0</v>
      </c>
    </row>
    <row r="11" spans="1:14" s="21" customFormat="1" ht="19.5" customHeight="1" x14ac:dyDescent="0.3">
      <c r="A11" s="20">
        <v>6</v>
      </c>
      <c r="B11" s="9" t="s">
        <v>71</v>
      </c>
      <c r="C11" s="10">
        <v>40080</v>
      </c>
      <c r="D11" s="10">
        <v>31229</v>
      </c>
      <c r="E11" s="11">
        <v>2759.8710099999998</v>
      </c>
      <c r="F11" s="11">
        <v>2813.4855200000002</v>
      </c>
      <c r="G11" s="10">
        <v>45860</v>
      </c>
      <c r="H11" s="10">
        <v>33944</v>
      </c>
      <c r="I11" s="11">
        <v>1388.5258800000001</v>
      </c>
      <c r="J11" s="11">
        <v>2374.9043199999992</v>
      </c>
      <c r="K11" s="10">
        <v>46968</v>
      </c>
      <c r="L11" s="10">
        <v>39139</v>
      </c>
      <c r="M11" s="11">
        <v>1329.2697799999999</v>
      </c>
      <c r="N11" s="11">
        <v>3088.0725599999996</v>
      </c>
    </row>
    <row r="12" spans="1:14" s="21" customFormat="1" ht="19.5" customHeight="1" x14ac:dyDescent="0.3">
      <c r="A12" s="20">
        <v>7</v>
      </c>
      <c r="B12" s="12" t="s">
        <v>50</v>
      </c>
      <c r="C12" s="10">
        <v>9084</v>
      </c>
      <c r="D12" s="10">
        <v>12725</v>
      </c>
      <c r="E12" s="13">
        <v>363.13299999999998</v>
      </c>
      <c r="F12" s="13">
        <v>346.22199999999998</v>
      </c>
      <c r="G12" s="10">
        <v>11244</v>
      </c>
      <c r="H12" s="10">
        <v>9340</v>
      </c>
      <c r="I12" s="11">
        <v>378.80700000000002</v>
      </c>
      <c r="J12" s="11">
        <v>286.03100000000001</v>
      </c>
      <c r="K12" s="10">
        <v>14355</v>
      </c>
      <c r="L12" s="10">
        <v>15436</v>
      </c>
      <c r="M12" s="11">
        <v>259.88799999999998</v>
      </c>
      <c r="N12" s="11">
        <v>265.49099999999999</v>
      </c>
    </row>
    <row r="13" spans="1:14" ht="31.5" customHeight="1" x14ac:dyDescent="0.25">
      <c r="A13" s="28" t="s">
        <v>3</v>
      </c>
      <c r="B13" s="28"/>
      <c r="C13" s="5">
        <f t="shared" ref="C13:N13" si="0">SUM(C6:C12)</f>
        <v>279405</v>
      </c>
      <c r="D13" s="5">
        <f t="shared" si="0"/>
        <v>219672</v>
      </c>
      <c r="E13" s="5">
        <f t="shared" si="0"/>
        <v>4790.4941099999996</v>
      </c>
      <c r="F13" s="5">
        <f t="shared" si="0"/>
        <v>7216.9563200000002</v>
      </c>
      <c r="G13" s="5">
        <f t="shared" si="0"/>
        <v>347495</v>
      </c>
      <c r="H13" s="5">
        <f t="shared" si="0"/>
        <v>232153</v>
      </c>
      <c r="I13" s="6">
        <f t="shared" si="0"/>
        <v>3970.2656800000004</v>
      </c>
      <c r="J13" s="6">
        <f t="shared" si="0"/>
        <v>7169.5790200000001</v>
      </c>
      <c r="K13" s="5">
        <f t="shared" si="0"/>
        <v>387770</v>
      </c>
      <c r="L13" s="5">
        <f t="shared" si="0"/>
        <v>316522</v>
      </c>
      <c r="M13" s="6">
        <f t="shared" si="0"/>
        <v>3848.7063800000005</v>
      </c>
      <c r="N13" s="6">
        <f t="shared" si="0"/>
        <v>7039.2861599999997</v>
      </c>
    </row>
    <row r="14" spans="1:14" ht="28.5" customHeight="1" x14ac:dyDescent="0.25">
      <c r="A14" s="29" t="s">
        <v>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24.75" customHeight="1" x14ac:dyDescent="0.25">
      <c r="A15" s="8">
        <v>1</v>
      </c>
      <c r="B15" s="9" t="s">
        <v>5</v>
      </c>
      <c r="C15" s="10">
        <v>259</v>
      </c>
      <c r="D15" s="10">
        <v>164</v>
      </c>
      <c r="E15" s="11">
        <v>0.42399999999999999</v>
      </c>
      <c r="F15" s="11">
        <v>129.09200000000001</v>
      </c>
      <c r="G15" s="10">
        <v>0</v>
      </c>
      <c r="H15" s="10">
        <v>0</v>
      </c>
      <c r="I15" s="11">
        <v>1.056</v>
      </c>
      <c r="J15" s="11">
        <v>34.936</v>
      </c>
      <c r="K15" s="10">
        <v>0</v>
      </c>
      <c r="L15" s="10">
        <v>0</v>
      </c>
      <c r="M15" s="11">
        <v>9.7210000000000001</v>
      </c>
      <c r="N15" s="11">
        <v>59.634999999999998</v>
      </c>
    </row>
    <row r="16" spans="1:14" ht="31.5" customHeight="1" x14ac:dyDescent="0.25">
      <c r="A16" s="8">
        <v>2</v>
      </c>
      <c r="B16" s="12" t="s">
        <v>6</v>
      </c>
      <c r="C16" s="10">
        <v>0</v>
      </c>
      <c r="D16" s="10">
        <v>0</v>
      </c>
      <c r="E16" s="13">
        <v>7687.4089999999997</v>
      </c>
      <c r="F16" s="13">
        <v>8167.6890000000003</v>
      </c>
      <c r="G16" s="10">
        <v>0</v>
      </c>
      <c r="H16" s="10">
        <v>0</v>
      </c>
      <c r="I16" s="11">
        <v>6832.451</v>
      </c>
      <c r="J16" s="11">
        <v>7173.3810000000003</v>
      </c>
      <c r="K16" s="10">
        <v>0</v>
      </c>
      <c r="L16" s="10">
        <v>0</v>
      </c>
      <c r="M16" s="11">
        <v>7624.1850000000004</v>
      </c>
      <c r="N16" s="11">
        <v>7728.1139999999996</v>
      </c>
    </row>
    <row r="17" spans="1:15" ht="31.5" customHeight="1" x14ac:dyDescent="0.25">
      <c r="A17" s="8">
        <v>3</v>
      </c>
      <c r="B17" s="9" t="s">
        <v>7</v>
      </c>
      <c r="C17" s="10">
        <v>26970</v>
      </c>
      <c r="D17" s="10">
        <v>27682</v>
      </c>
      <c r="E17" s="11">
        <v>26.7</v>
      </c>
      <c r="F17" s="11">
        <v>396.70600000000002</v>
      </c>
      <c r="G17" s="10">
        <v>38261</v>
      </c>
      <c r="H17" s="10">
        <v>35643</v>
      </c>
      <c r="I17" s="11">
        <v>38.731000000000002</v>
      </c>
      <c r="J17" s="11">
        <v>495.49299999999999</v>
      </c>
      <c r="K17" s="14">
        <v>40839</v>
      </c>
      <c r="L17" s="14">
        <v>48061</v>
      </c>
      <c r="M17" s="13">
        <v>82.558000000000007</v>
      </c>
      <c r="N17" s="13">
        <v>573.68100000000004</v>
      </c>
    </row>
    <row r="18" spans="1:15" ht="31.5" customHeight="1" x14ac:dyDescent="0.25">
      <c r="A18" s="8">
        <v>4</v>
      </c>
      <c r="B18" s="9" t="s">
        <v>51</v>
      </c>
      <c r="C18" s="10">
        <v>0</v>
      </c>
      <c r="D18" s="10">
        <v>106</v>
      </c>
      <c r="E18" s="11">
        <v>0.252</v>
      </c>
      <c r="F18" s="11">
        <v>155.57499999999999</v>
      </c>
      <c r="G18" s="10">
        <v>0</v>
      </c>
      <c r="H18" s="10">
        <v>0</v>
      </c>
      <c r="I18" s="11">
        <v>0.78600000000000003</v>
      </c>
      <c r="J18" s="11">
        <v>108.827</v>
      </c>
      <c r="K18" s="10">
        <v>0</v>
      </c>
      <c r="L18" s="10">
        <v>142</v>
      </c>
      <c r="M18" s="11">
        <v>0.13</v>
      </c>
      <c r="N18" s="11">
        <v>128.29900000000001</v>
      </c>
      <c r="O18" s="7"/>
    </row>
    <row r="19" spans="1:15" ht="31.5" customHeight="1" x14ac:dyDescent="0.25">
      <c r="A19" s="8">
        <v>5</v>
      </c>
      <c r="B19" s="9" t="s">
        <v>52</v>
      </c>
      <c r="C19" s="10">
        <v>5095</v>
      </c>
      <c r="D19" s="10">
        <v>5019</v>
      </c>
      <c r="E19" s="11">
        <v>123.191</v>
      </c>
      <c r="F19" s="11">
        <v>280.84399999999999</v>
      </c>
      <c r="G19" s="10">
        <v>8973</v>
      </c>
      <c r="H19" s="10">
        <v>5342</v>
      </c>
      <c r="I19" s="11">
        <v>126.631</v>
      </c>
      <c r="J19" s="11">
        <v>273.01799999999997</v>
      </c>
      <c r="K19" s="10">
        <v>8883</v>
      </c>
      <c r="L19" s="10">
        <v>8150</v>
      </c>
      <c r="M19" s="11">
        <v>108.34399999999999</v>
      </c>
      <c r="N19" s="11">
        <v>223.13200000000001</v>
      </c>
    </row>
    <row r="20" spans="1:15" ht="31.5" customHeight="1" x14ac:dyDescent="0.25">
      <c r="A20" s="8">
        <v>6</v>
      </c>
      <c r="B20" s="9" t="s">
        <v>53</v>
      </c>
      <c r="C20" s="14">
        <v>9105</v>
      </c>
      <c r="D20" s="14">
        <v>7554</v>
      </c>
      <c r="E20" s="11">
        <v>358.26</v>
      </c>
      <c r="F20" s="11">
        <v>692.59059999999999</v>
      </c>
      <c r="G20" s="10">
        <v>6470</v>
      </c>
      <c r="H20" s="10">
        <v>4068</v>
      </c>
      <c r="I20" s="11">
        <v>636.221</v>
      </c>
      <c r="J20" s="11">
        <v>841.85699999999997</v>
      </c>
      <c r="K20" s="10">
        <v>9055</v>
      </c>
      <c r="L20" s="10">
        <v>5999</v>
      </c>
      <c r="M20" s="11">
        <v>580.82399999999996</v>
      </c>
      <c r="N20" s="11">
        <v>892.61900000000003</v>
      </c>
    </row>
    <row r="21" spans="1:15" s="3" customFormat="1" ht="27.95" customHeight="1" x14ac:dyDescent="0.25">
      <c r="A21" s="8">
        <v>7</v>
      </c>
      <c r="B21" s="15" t="s">
        <v>59</v>
      </c>
      <c r="C21" s="14">
        <v>2</v>
      </c>
      <c r="D21" s="14">
        <v>38</v>
      </c>
      <c r="E21" s="11">
        <v>0</v>
      </c>
      <c r="F21" s="11">
        <v>7.6760000000000002</v>
      </c>
      <c r="G21" s="10">
        <v>0</v>
      </c>
      <c r="H21" s="10">
        <v>4</v>
      </c>
      <c r="I21" s="11">
        <v>0</v>
      </c>
      <c r="J21" s="11">
        <v>2.3769999999999998</v>
      </c>
      <c r="K21" s="10"/>
      <c r="L21" s="10"/>
      <c r="M21" s="11">
        <v>0</v>
      </c>
      <c r="N21" s="11">
        <v>0</v>
      </c>
    </row>
    <row r="22" spans="1:15" s="3" customFormat="1" ht="27.95" customHeight="1" x14ac:dyDescent="0.25">
      <c r="A22" s="8">
        <v>8</v>
      </c>
      <c r="B22" s="12" t="s">
        <v>61</v>
      </c>
      <c r="C22" s="10">
        <v>120</v>
      </c>
      <c r="D22" s="10">
        <v>85</v>
      </c>
      <c r="E22" s="11">
        <v>22.9407</v>
      </c>
      <c r="F22" s="11">
        <v>201.86099999999999</v>
      </c>
      <c r="G22" s="14">
        <v>33</v>
      </c>
      <c r="H22" s="14">
        <v>141</v>
      </c>
      <c r="I22" s="13">
        <v>321.5437</v>
      </c>
      <c r="J22" s="13">
        <v>234.30481</v>
      </c>
      <c r="K22" s="14">
        <v>230</v>
      </c>
      <c r="L22" s="14">
        <v>402</v>
      </c>
      <c r="M22" s="13">
        <v>616.39499999999998</v>
      </c>
      <c r="N22" s="13">
        <v>463.31299999999999</v>
      </c>
    </row>
    <row r="23" spans="1:15" s="3" customFormat="1" ht="27.95" customHeight="1" x14ac:dyDescent="0.25">
      <c r="A23" s="8">
        <v>9</v>
      </c>
      <c r="B23" s="9" t="s">
        <v>8</v>
      </c>
      <c r="C23" s="10">
        <v>266</v>
      </c>
      <c r="D23" s="10">
        <v>277</v>
      </c>
      <c r="E23" s="11">
        <v>131.61500000000001</v>
      </c>
      <c r="F23" s="11">
        <v>133.17400000000001</v>
      </c>
      <c r="G23" s="10">
        <v>2050</v>
      </c>
      <c r="H23" s="10">
        <v>1327</v>
      </c>
      <c r="I23" s="11">
        <v>97.058000000000007</v>
      </c>
      <c r="J23" s="11">
        <v>95.832999999999998</v>
      </c>
      <c r="K23" s="10">
        <v>688</v>
      </c>
      <c r="L23" s="10">
        <v>543</v>
      </c>
      <c r="M23" s="11">
        <v>80.019000000000005</v>
      </c>
      <c r="N23" s="11">
        <v>103.617</v>
      </c>
    </row>
    <row r="24" spans="1:15" s="3" customFormat="1" ht="27.75" customHeight="1" x14ac:dyDescent="0.25">
      <c r="A24" s="8">
        <v>10</v>
      </c>
      <c r="B24" s="9" t="s">
        <v>9</v>
      </c>
      <c r="C24" s="10">
        <v>73</v>
      </c>
      <c r="D24" s="10">
        <v>71</v>
      </c>
      <c r="E24" s="11">
        <v>0.13</v>
      </c>
      <c r="F24" s="11">
        <v>4.2000000000000003E-2</v>
      </c>
      <c r="G24" s="10">
        <v>220</v>
      </c>
      <c r="H24" s="10">
        <v>216</v>
      </c>
      <c r="I24" s="11">
        <v>3.9E-2</v>
      </c>
      <c r="J24" s="11">
        <v>1.5940000000000001</v>
      </c>
      <c r="K24" s="10">
        <v>373</v>
      </c>
      <c r="L24" s="10">
        <v>803</v>
      </c>
      <c r="M24" s="11">
        <v>2.7E-2</v>
      </c>
      <c r="N24" s="11">
        <v>0.44700000000000001</v>
      </c>
    </row>
    <row r="25" spans="1:15" s="3" customFormat="1" ht="27.75" customHeight="1" x14ac:dyDescent="0.25">
      <c r="A25" s="8">
        <v>11</v>
      </c>
      <c r="B25" s="9" t="s">
        <v>54</v>
      </c>
      <c r="C25" s="10">
        <v>12207</v>
      </c>
      <c r="D25" s="10">
        <v>9763</v>
      </c>
      <c r="E25" s="11">
        <v>1152.78</v>
      </c>
      <c r="F25" s="11">
        <v>2618.71</v>
      </c>
      <c r="G25" s="10">
        <v>14539</v>
      </c>
      <c r="H25" s="10">
        <v>8591</v>
      </c>
      <c r="I25" s="11">
        <v>0</v>
      </c>
      <c r="J25" s="11">
        <v>0</v>
      </c>
      <c r="K25" s="10">
        <v>13304</v>
      </c>
      <c r="L25" s="10">
        <v>7459</v>
      </c>
      <c r="M25" s="11">
        <v>736.77</v>
      </c>
      <c r="N25" s="11">
        <v>1661.71</v>
      </c>
    </row>
    <row r="26" spans="1:15" s="3" customFormat="1" ht="27.75" customHeight="1" x14ac:dyDescent="0.25">
      <c r="A26" s="8">
        <v>12</v>
      </c>
      <c r="B26" s="15" t="s">
        <v>10</v>
      </c>
      <c r="C26" s="14">
        <v>0</v>
      </c>
      <c r="D26" s="14">
        <v>0</v>
      </c>
      <c r="E26" s="11">
        <v>6062.1612000000005</v>
      </c>
      <c r="F26" s="11">
        <v>4530.1382000000003</v>
      </c>
      <c r="G26" s="10">
        <v>0</v>
      </c>
      <c r="H26" s="10">
        <v>0</v>
      </c>
      <c r="I26" s="11">
        <v>6038.1173000000008</v>
      </c>
      <c r="J26" s="11">
        <v>3356.7604000000001</v>
      </c>
      <c r="K26" s="10"/>
      <c r="L26" s="10"/>
      <c r="M26" s="11">
        <v>6598.7843599999997</v>
      </c>
      <c r="N26" s="11">
        <v>3971.1996999999997</v>
      </c>
    </row>
    <row r="27" spans="1:15" s="3" customFormat="1" ht="27.75" customHeight="1" x14ac:dyDescent="0.25">
      <c r="A27" s="8">
        <v>13</v>
      </c>
      <c r="B27" s="9" t="s">
        <v>11</v>
      </c>
      <c r="C27" s="10">
        <v>0</v>
      </c>
      <c r="D27" s="10">
        <v>0</v>
      </c>
      <c r="E27" s="11">
        <v>401.27499999999998</v>
      </c>
      <c r="F27" s="11">
        <v>313.71800000000002</v>
      </c>
      <c r="G27" s="10">
        <v>0</v>
      </c>
      <c r="H27" s="10">
        <v>0</v>
      </c>
      <c r="I27" s="11">
        <v>491.68799999999999</v>
      </c>
      <c r="J27" s="11">
        <v>277.2</v>
      </c>
      <c r="K27" s="10">
        <v>0</v>
      </c>
      <c r="L27" s="10">
        <v>0</v>
      </c>
      <c r="M27" s="11">
        <v>387.63900000000001</v>
      </c>
      <c r="N27" s="11">
        <v>277.74599999999998</v>
      </c>
    </row>
    <row r="28" spans="1:15" s="3" customFormat="1" ht="27.75" customHeight="1" x14ac:dyDescent="0.25">
      <c r="A28" s="8">
        <v>14</v>
      </c>
      <c r="B28" s="9" t="s">
        <v>12</v>
      </c>
      <c r="C28" s="10">
        <v>0</v>
      </c>
      <c r="D28" s="10">
        <v>0</v>
      </c>
      <c r="E28" s="11">
        <v>56.963500000000003</v>
      </c>
      <c r="F28" s="11">
        <v>30.515999999999998</v>
      </c>
      <c r="G28" s="10"/>
      <c r="H28" s="10"/>
      <c r="I28" s="11">
        <v>0</v>
      </c>
      <c r="J28" s="11">
        <v>0</v>
      </c>
      <c r="K28" s="10"/>
      <c r="L28" s="10"/>
      <c r="M28" s="11">
        <v>0</v>
      </c>
      <c r="N28" s="11">
        <v>0</v>
      </c>
    </row>
    <row r="29" spans="1:15" s="3" customFormat="1" ht="27.75" customHeight="1" x14ac:dyDescent="0.25">
      <c r="A29" s="8">
        <v>15</v>
      </c>
      <c r="B29" s="9" t="s">
        <v>13</v>
      </c>
      <c r="C29" s="10">
        <v>91</v>
      </c>
      <c r="D29" s="10">
        <v>5</v>
      </c>
      <c r="E29" s="11">
        <v>0</v>
      </c>
      <c r="F29" s="11">
        <v>0.1459</v>
      </c>
      <c r="G29" s="10">
        <v>117</v>
      </c>
      <c r="H29" s="10">
        <v>94</v>
      </c>
      <c r="I29" s="11">
        <v>0.17836000000000002</v>
      </c>
      <c r="J29" s="11">
        <v>9.290000000000001E-2</v>
      </c>
      <c r="K29" s="10">
        <v>26</v>
      </c>
      <c r="L29" s="10">
        <v>35</v>
      </c>
      <c r="M29" s="11">
        <v>0</v>
      </c>
      <c r="N29" s="11">
        <v>0.2147</v>
      </c>
    </row>
    <row r="30" spans="1:15" s="3" customFormat="1" ht="27.75" customHeight="1" x14ac:dyDescent="0.25">
      <c r="A30" s="8">
        <v>16</v>
      </c>
      <c r="B30" s="9" t="s">
        <v>14</v>
      </c>
      <c r="C30" s="10">
        <v>0</v>
      </c>
      <c r="D30" s="10">
        <v>0</v>
      </c>
      <c r="E30" s="11">
        <v>9.6259999999999994</v>
      </c>
      <c r="F30" s="11">
        <v>109.39100000000001</v>
      </c>
      <c r="G30" s="10">
        <v>0</v>
      </c>
      <c r="H30" s="10">
        <v>0</v>
      </c>
      <c r="I30" s="11">
        <v>25.148</v>
      </c>
      <c r="J30" s="11">
        <v>70.962999999999994</v>
      </c>
      <c r="K30" s="10">
        <v>0</v>
      </c>
      <c r="L30" s="10">
        <v>0</v>
      </c>
      <c r="M30" s="11">
        <v>0</v>
      </c>
      <c r="N30" s="11">
        <v>28.053000000000001</v>
      </c>
    </row>
    <row r="31" spans="1:15" s="3" customFormat="1" ht="27.75" customHeight="1" x14ac:dyDescent="0.25">
      <c r="A31" s="8">
        <v>17</v>
      </c>
      <c r="B31" s="9" t="s">
        <v>46</v>
      </c>
      <c r="C31" s="10">
        <v>27155</v>
      </c>
      <c r="D31" s="10">
        <v>22391</v>
      </c>
      <c r="E31" s="11">
        <v>2032.0440100000003</v>
      </c>
      <c r="F31" s="11">
        <v>3813.0151700000001</v>
      </c>
      <c r="G31" s="10">
        <v>52913</v>
      </c>
      <c r="H31" s="10">
        <v>40141</v>
      </c>
      <c r="I31" s="11">
        <v>3549.60826</v>
      </c>
      <c r="J31" s="11">
        <v>6367.3673500000004</v>
      </c>
      <c r="K31" s="10">
        <v>64144</v>
      </c>
      <c r="L31" s="10">
        <v>65041</v>
      </c>
      <c r="M31" s="11">
        <v>4151.08043</v>
      </c>
      <c r="N31" s="11">
        <v>6304.8042500000001</v>
      </c>
    </row>
    <row r="32" spans="1:15" s="3" customFormat="1" ht="27.75" customHeight="1" x14ac:dyDescent="0.25">
      <c r="A32" s="8">
        <v>18</v>
      </c>
      <c r="B32" s="9" t="s">
        <v>47</v>
      </c>
      <c r="C32" s="10">
        <v>4</v>
      </c>
      <c r="D32" s="10">
        <v>1056</v>
      </c>
      <c r="E32" s="11">
        <v>31.581</v>
      </c>
      <c r="F32" s="11">
        <v>19.681000000000001</v>
      </c>
      <c r="G32" s="10">
        <v>14</v>
      </c>
      <c r="H32" s="10">
        <v>859</v>
      </c>
      <c r="I32" s="11">
        <v>30.757999999999999</v>
      </c>
      <c r="J32" s="11">
        <v>39.222000000000001</v>
      </c>
      <c r="K32" s="14">
        <v>594</v>
      </c>
      <c r="L32" s="14">
        <v>681</v>
      </c>
      <c r="M32" s="13">
        <v>11.432</v>
      </c>
      <c r="N32" s="13">
        <v>26.536999999999999</v>
      </c>
    </row>
    <row r="33" spans="1:14" s="3" customFormat="1" ht="27.75" customHeight="1" x14ac:dyDescent="0.25">
      <c r="A33" s="8">
        <v>19</v>
      </c>
      <c r="B33" s="9" t="s">
        <v>15</v>
      </c>
      <c r="C33" s="10">
        <v>4542</v>
      </c>
      <c r="D33" s="10">
        <v>2099</v>
      </c>
      <c r="E33" s="11">
        <v>894.86599999999999</v>
      </c>
      <c r="F33" s="11">
        <v>1872.271</v>
      </c>
      <c r="G33" s="10">
        <v>4805</v>
      </c>
      <c r="H33" s="10">
        <v>1963</v>
      </c>
      <c r="I33" s="11">
        <v>767.98099999999999</v>
      </c>
      <c r="J33" s="11">
        <v>1490.9829999999999</v>
      </c>
      <c r="K33" s="10">
        <v>4496</v>
      </c>
      <c r="L33" s="10">
        <v>3582</v>
      </c>
      <c r="M33" s="11">
        <v>840.69600000000003</v>
      </c>
      <c r="N33" s="11">
        <v>1438.9690000000001</v>
      </c>
    </row>
    <row r="34" spans="1:14" s="3" customFormat="1" ht="27.75" customHeight="1" x14ac:dyDescent="0.25">
      <c r="A34" s="8">
        <v>20</v>
      </c>
      <c r="B34" s="9" t="s">
        <v>16</v>
      </c>
      <c r="C34" s="10">
        <v>0</v>
      </c>
      <c r="D34" s="10">
        <v>0</v>
      </c>
      <c r="E34" s="11">
        <v>1704.463</v>
      </c>
      <c r="F34" s="11">
        <v>3998.2930000000001</v>
      </c>
      <c r="G34" s="14">
        <v>0</v>
      </c>
      <c r="H34" s="14">
        <v>0</v>
      </c>
      <c r="I34" s="11">
        <v>1569.3140000000001</v>
      </c>
      <c r="J34" s="11">
        <v>3362.9630000000002</v>
      </c>
      <c r="K34" s="10">
        <v>0</v>
      </c>
      <c r="L34" s="10">
        <v>0</v>
      </c>
      <c r="M34" s="11">
        <v>1994.56</v>
      </c>
      <c r="N34" s="11">
        <v>5507.9350000000004</v>
      </c>
    </row>
    <row r="35" spans="1:14" s="3" customFormat="1" ht="27.75" customHeight="1" x14ac:dyDescent="0.25">
      <c r="A35" s="8">
        <v>21</v>
      </c>
      <c r="B35" s="9" t="s">
        <v>48</v>
      </c>
      <c r="C35" s="10">
        <v>2651</v>
      </c>
      <c r="D35" s="10">
        <v>3015</v>
      </c>
      <c r="E35" s="11">
        <v>0</v>
      </c>
      <c r="F35" s="11">
        <v>0</v>
      </c>
      <c r="G35" s="14">
        <v>2767</v>
      </c>
      <c r="H35" s="14">
        <v>2717</v>
      </c>
      <c r="I35" s="11">
        <v>3.1549999999999998</v>
      </c>
      <c r="J35" s="11">
        <v>87.450999999999993</v>
      </c>
      <c r="K35" s="10">
        <v>3901</v>
      </c>
      <c r="L35" s="10">
        <v>3120</v>
      </c>
      <c r="M35" s="11">
        <v>2.903</v>
      </c>
      <c r="N35" s="11">
        <v>91.212999999999994</v>
      </c>
    </row>
    <row r="36" spans="1:14" s="3" customFormat="1" ht="27.75" customHeight="1" x14ac:dyDescent="0.25">
      <c r="A36" s="8">
        <v>22</v>
      </c>
      <c r="B36" s="12" t="s">
        <v>17</v>
      </c>
      <c r="C36" s="10">
        <v>27</v>
      </c>
      <c r="D36" s="10">
        <v>149</v>
      </c>
      <c r="E36" s="11">
        <v>68.480999999999995</v>
      </c>
      <c r="F36" s="11">
        <v>42.939</v>
      </c>
      <c r="G36" s="10">
        <v>54</v>
      </c>
      <c r="H36" s="10">
        <v>88</v>
      </c>
      <c r="I36" s="11">
        <v>50.348999999999997</v>
      </c>
      <c r="J36" s="11">
        <v>47.698</v>
      </c>
      <c r="K36" s="10">
        <v>41</v>
      </c>
      <c r="L36" s="10">
        <v>125</v>
      </c>
      <c r="M36" s="11">
        <v>28.617000000000001</v>
      </c>
      <c r="N36" s="11">
        <v>65.591999999999999</v>
      </c>
    </row>
    <row r="37" spans="1:14" s="3" customFormat="1" ht="27.95" customHeight="1" x14ac:dyDescent="0.25">
      <c r="A37" s="8">
        <v>23</v>
      </c>
      <c r="B37" s="9" t="s">
        <v>18</v>
      </c>
      <c r="C37" s="10">
        <v>644</v>
      </c>
      <c r="D37" s="10">
        <v>499</v>
      </c>
      <c r="E37" s="11">
        <v>0</v>
      </c>
      <c r="F37" s="11">
        <v>0.85099999999999998</v>
      </c>
      <c r="G37" s="10">
        <v>1146</v>
      </c>
      <c r="H37" s="10">
        <v>961</v>
      </c>
      <c r="I37" s="11">
        <v>0</v>
      </c>
      <c r="J37" s="11">
        <v>0.03</v>
      </c>
      <c r="K37" s="10">
        <v>1688</v>
      </c>
      <c r="L37" s="10">
        <v>1494</v>
      </c>
      <c r="M37" s="11">
        <v>0</v>
      </c>
      <c r="N37" s="11">
        <v>0</v>
      </c>
    </row>
    <row r="38" spans="1:14" s="3" customFormat="1" ht="27.95" customHeight="1" x14ac:dyDescent="0.25">
      <c r="A38" s="8">
        <v>24</v>
      </c>
      <c r="B38" s="9" t="s">
        <v>19</v>
      </c>
      <c r="C38" s="10">
        <v>246</v>
      </c>
      <c r="D38" s="10">
        <v>207</v>
      </c>
      <c r="E38" s="11">
        <v>0.28199999999999997</v>
      </c>
      <c r="F38" s="11">
        <v>0.48699999999999999</v>
      </c>
      <c r="G38" s="10">
        <v>1665</v>
      </c>
      <c r="H38" s="10">
        <v>324</v>
      </c>
      <c r="I38" s="11">
        <v>0.15</v>
      </c>
      <c r="J38" s="11">
        <v>4.0880000000000001</v>
      </c>
      <c r="K38" s="10">
        <v>447</v>
      </c>
      <c r="L38" s="10">
        <v>442</v>
      </c>
      <c r="M38" s="11">
        <v>0.29699999999999999</v>
      </c>
      <c r="N38" s="11">
        <v>6.3550000000000004</v>
      </c>
    </row>
    <row r="39" spans="1:14" s="3" customFormat="1" ht="27.95" customHeight="1" x14ac:dyDescent="0.25">
      <c r="A39" s="8">
        <v>25</v>
      </c>
      <c r="B39" s="15" t="s">
        <v>20</v>
      </c>
      <c r="C39" s="10">
        <v>276</v>
      </c>
      <c r="D39" s="10">
        <v>438</v>
      </c>
      <c r="E39" s="11">
        <v>199.505</v>
      </c>
      <c r="F39" s="11">
        <v>147.11799999999999</v>
      </c>
      <c r="G39" s="14">
        <v>536</v>
      </c>
      <c r="H39" s="14">
        <v>311</v>
      </c>
      <c r="I39" s="11">
        <v>330.83199999999999</v>
      </c>
      <c r="J39" s="11">
        <v>169.74</v>
      </c>
      <c r="K39" s="10">
        <v>414</v>
      </c>
      <c r="L39" s="10">
        <v>770</v>
      </c>
      <c r="M39" s="11">
        <v>288.803</v>
      </c>
      <c r="N39" s="11">
        <v>182.12299999999999</v>
      </c>
    </row>
    <row r="40" spans="1:14" s="3" customFormat="1" ht="27.95" customHeight="1" x14ac:dyDescent="0.25">
      <c r="A40" s="8">
        <v>26</v>
      </c>
      <c r="B40" s="12" t="s">
        <v>55</v>
      </c>
      <c r="C40" s="10">
        <v>1750</v>
      </c>
      <c r="D40" s="10">
        <v>1523</v>
      </c>
      <c r="E40" s="11">
        <v>0</v>
      </c>
      <c r="F40" s="11">
        <v>17.7</v>
      </c>
      <c r="G40" s="10">
        <v>344</v>
      </c>
      <c r="H40" s="10">
        <v>188</v>
      </c>
      <c r="I40" s="11">
        <v>0</v>
      </c>
      <c r="J40" s="11">
        <v>28.798999999999999</v>
      </c>
      <c r="K40" s="10">
        <v>3870</v>
      </c>
      <c r="L40" s="10">
        <v>2890</v>
      </c>
      <c r="M40" s="11">
        <v>0</v>
      </c>
      <c r="N40" s="11">
        <v>67.924000000000007</v>
      </c>
    </row>
    <row r="41" spans="1:14" s="3" customFormat="1" ht="27.95" customHeight="1" x14ac:dyDescent="0.25">
      <c r="A41" s="8">
        <v>27</v>
      </c>
      <c r="B41" s="9" t="s">
        <v>21</v>
      </c>
      <c r="C41" s="10">
        <v>643</v>
      </c>
      <c r="D41" s="10">
        <v>1252</v>
      </c>
      <c r="E41" s="11">
        <v>0</v>
      </c>
      <c r="F41" s="11">
        <v>0.53</v>
      </c>
      <c r="G41" s="10">
        <v>1645</v>
      </c>
      <c r="H41" s="10">
        <v>1602</v>
      </c>
      <c r="I41" s="11">
        <v>0</v>
      </c>
      <c r="J41" s="11">
        <v>2.0299999999999998</v>
      </c>
      <c r="K41" s="10">
        <v>1549</v>
      </c>
      <c r="L41" s="10">
        <v>1741</v>
      </c>
      <c r="M41" s="11">
        <v>0.12</v>
      </c>
      <c r="N41" s="11">
        <v>10.832000000000001</v>
      </c>
    </row>
    <row r="42" spans="1:14" s="3" customFormat="1" ht="27.95" customHeight="1" x14ac:dyDescent="0.25">
      <c r="A42" s="8">
        <v>28</v>
      </c>
      <c r="B42" s="9" t="s">
        <v>56</v>
      </c>
      <c r="C42" s="10">
        <v>36</v>
      </c>
      <c r="D42" s="10">
        <v>5044</v>
      </c>
      <c r="E42" s="11">
        <v>843.98599999999999</v>
      </c>
      <c r="F42" s="11">
        <v>654.96420000000001</v>
      </c>
      <c r="G42" s="10">
        <v>5428</v>
      </c>
      <c r="H42" s="10">
        <v>4852</v>
      </c>
      <c r="I42" s="11">
        <v>576.07899999999995</v>
      </c>
      <c r="J42" s="11">
        <v>692.44200000000001</v>
      </c>
      <c r="K42" s="10">
        <v>5746</v>
      </c>
      <c r="L42" s="10">
        <v>5211</v>
      </c>
      <c r="M42" s="11">
        <v>624.26800000000003</v>
      </c>
      <c r="N42" s="11">
        <v>750.20799999999997</v>
      </c>
    </row>
    <row r="43" spans="1:14" s="3" customFormat="1" ht="27.95" customHeight="1" x14ac:dyDescent="0.25">
      <c r="A43" s="8">
        <v>29</v>
      </c>
      <c r="B43" s="9" t="s">
        <v>22</v>
      </c>
      <c r="C43" s="10">
        <v>0</v>
      </c>
      <c r="D43" s="10">
        <v>0</v>
      </c>
      <c r="E43" s="11">
        <v>169.94</v>
      </c>
      <c r="F43" s="11">
        <v>28.012</v>
      </c>
      <c r="G43" s="10">
        <v>0</v>
      </c>
      <c r="H43" s="10">
        <v>0</v>
      </c>
      <c r="I43" s="11">
        <v>450.75880000000001</v>
      </c>
      <c r="J43" s="11">
        <v>566.95539999999994</v>
      </c>
      <c r="K43" s="10">
        <v>0</v>
      </c>
      <c r="L43" s="10">
        <v>0</v>
      </c>
      <c r="M43" s="13">
        <v>323.67270000000002</v>
      </c>
      <c r="N43" s="13">
        <v>545.47460000000001</v>
      </c>
    </row>
    <row r="44" spans="1:14" s="3" customFormat="1" ht="27.95" customHeight="1" x14ac:dyDescent="0.25">
      <c r="A44" s="8">
        <v>30</v>
      </c>
      <c r="B44" s="9" t="s">
        <v>23</v>
      </c>
      <c r="C44" s="10">
        <v>3163</v>
      </c>
      <c r="D44" s="10">
        <v>2276</v>
      </c>
      <c r="E44" s="11">
        <v>2907.1320000000001</v>
      </c>
      <c r="F44" s="11">
        <v>1674.492</v>
      </c>
      <c r="G44" s="10">
        <v>7952</v>
      </c>
      <c r="H44" s="10">
        <v>4103</v>
      </c>
      <c r="I44" s="11">
        <v>2339.34</v>
      </c>
      <c r="J44" s="11">
        <v>1932.421</v>
      </c>
      <c r="K44" s="10">
        <v>9278</v>
      </c>
      <c r="L44" s="10">
        <v>6420</v>
      </c>
      <c r="M44" s="13">
        <v>2692.1129999999998</v>
      </c>
      <c r="N44" s="13">
        <v>1631.6990000000001</v>
      </c>
    </row>
    <row r="45" spans="1:14" s="3" customFormat="1" ht="27.95" customHeight="1" x14ac:dyDescent="0.25">
      <c r="A45" s="8">
        <v>31</v>
      </c>
      <c r="B45" s="9" t="s">
        <v>24</v>
      </c>
      <c r="C45" s="10">
        <v>510</v>
      </c>
      <c r="D45" s="10">
        <v>383</v>
      </c>
      <c r="E45" s="11">
        <v>108.71599999999999</v>
      </c>
      <c r="F45" s="11">
        <v>81.466999999999999</v>
      </c>
      <c r="G45" s="10">
        <v>497</v>
      </c>
      <c r="H45" s="10">
        <v>277</v>
      </c>
      <c r="I45" s="11">
        <v>32.570999999999998</v>
      </c>
      <c r="J45" s="11">
        <v>90.012</v>
      </c>
      <c r="K45" s="10">
        <v>361</v>
      </c>
      <c r="L45" s="10">
        <v>269</v>
      </c>
      <c r="M45" s="13">
        <v>28.696999999999999</v>
      </c>
      <c r="N45" s="13">
        <v>59.398000000000003</v>
      </c>
    </row>
    <row r="46" spans="1:14" s="3" customFormat="1" ht="27.95" customHeight="1" x14ac:dyDescent="0.25">
      <c r="A46" s="8">
        <v>32</v>
      </c>
      <c r="B46" s="9" t="s">
        <v>25</v>
      </c>
      <c r="C46" s="10">
        <v>0</v>
      </c>
      <c r="D46" s="10">
        <v>0</v>
      </c>
      <c r="E46" s="11">
        <v>1106.6777</v>
      </c>
      <c r="F46" s="11">
        <v>946.83590000000004</v>
      </c>
      <c r="G46" s="10">
        <v>0</v>
      </c>
      <c r="H46" s="10">
        <v>0</v>
      </c>
      <c r="I46" s="11">
        <v>1193.0293999999999</v>
      </c>
      <c r="J46" s="11">
        <v>814.35050000000001</v>
      </c>
      <c r="K46" s="10">
        <v>0</v>
      </c>
      <c r="L46" s="10">
        <v>0</v>
      </c>
      <c r="M46" s="13">
        <v>1130.9839999999999</v>
      </c>
      <c r="N46" s="13">
        <v>826.00900000000001</v>
      </c>
    </row>
    <row r="47" spans="1:14" s="3" customFormat="1" ht="27.95" customHeight="1" x14ac:dyDescent="0.25">
      <c r="A47" s="8">
        <v>33</v>
      </c>
      <c r="B47" s="9" t="s">
        <v>62</v>
      </c>
      <c r="C47" s="10"/>
      <c r="D47" s="10"/>
      <c r="E47" s="11">
        <v>0</v>
      </c>
      <c r="F47" s="11">
        <v>0</v>
      </c>
      <c r="G47" s="10"/>
      <c r="H47" s="10"/>
      <c r="I47" s="11">
        <v>0</v>
      </c>
      <c r="J47" s="11">
        <v>0</v>
      </c>
      <c r="K47" s="10">
        <v>1244</v>
      </c>
      <c r="L47" s="10">
        <v>1339</v>
      </c>
      <c r="M47" s="13">
        <v>1.365</v>
      </c>
      <c r="N47" s="13">
        <v>7.81</v>
      </c>
    </row>
    <row r="48" spans="1:14" s="3" customFormat="1" ht="27.95" customHeight="1" x14ac:dyDescent="0.25">
      <c r="A48" s="8">
        <v>34</v>
      </c>
      <c r="B48" s="9" t="s">
        <v>26</v>
      </c>
      <c r="C48" s="10">
        <v>933</v>
      </c>
      <c r="D48" s="10">
        <v>903</v>
      </c>
      <c r="E48" s="11">
        <v>21.259</v>
      </c>
      <c r="F48" s="11">
        <v>278.6284</v>
      </c>
      <c r="G48" s="10">
        <v>4091</v>
      </c>
      <c r="H48" s="10">
        <v>2271</v>
      </c>
      <c r="I48" s="11">
        <v>30.478999999999999</v>
      </c>
      <c r="J48" s="11">
        <v>362.62700000000001</v>
      </c>
      <c r="K48" s="10">
        <v>7589</v>
      </c>
      <c r="L48" s="10">
        <v>6000</v>
      </c>
      <c r="M48" s="13">
        <v>66.090999999999994</v>
      </c>
      <c r="N48" s="13">
        <v>407.96699999999998</v>
      </c>
    </row>
    <row r="49" spans="1:14" s="3" customFormat="1" ht="27.95" customHeight="1" x14ac:dyDescent="0.25">
      <c r="A49" s="8">
        <v>35</v>
      </c>
      <c r="B49" s="9" t="s">
        <v>27</v>
      </c>
      <c r="C49" s="10">
        <v>6575</v>
      </c>
      <c r="D49" s="10">
        <v>5870</v>
      </c>
      <c r="E49" s="11">
        <v>8052.9966599999989</v>
      </c>
      <c r="F49" s="11">
        <v>8959.8802299999988</v>
      </c>
      <c r="G49" s="10">
        <v>8017</v>
      </c>
      <c r="H49" s="10">
        <v>4941</v>
      </c>
      <c r="I49" s="11">
        <v>7910.7450500000004</v>
      </c>
      <c r="J49" s="11">
        <v>8645.5518899999988</v>
      </c>
      <c r="K49" s="10">
        <v>20573</v>
      </c>
      <c r="L49" s="10">
        <v>10885</v>
      </c>
      <c r="M49" s="13">
        <v>8708.7597699999988</v>
      </c>
      <c r="N49" s="13">
        <v>9388.5952500000003</v>
      </c>
    </row>
    <row r="50" spans="1:14" s="3" customFormat="1" ht="27.95" customHeight="1" x14ac:dyDescent="0.25">
      <c r="A50" s="8">
        <v>36</v>
      </c>
      <c r="B50" s="9" t="s">
        <v>57</v>
      </c>
      <c r="C50" s="10"/>
      <c r="D50" s="10"/>
      <c r="E50" s="11">
        <v>0</v>
      </c>
      <c r="F50" s="11">
        <v>0</v>
      </c>
      <c r="G50" s="10">
        <v>212</v>
      </c>
      <c r="H50" s="10">
        <v>216</v>
      </c>
      <c r="I50" s="11">
        <v>0</v>
      </c>
      <c r="J50" s="11">
        <v>0</v>
      </c>
      <c r="K50" s="10">
        <v>752</v>
      </c>
      <c r="L50" s="10">
        <v>929</v>
      </c>
      <c r="M50" s="13">
        <v>0</v>
      </c>
      <c r="N50" s="13">
        <v>0</v>
      </c>
    </row>
    <row r="51" spans="1:14" s="3" customFormat="1" ht="27.95" customHeight="1" x14ac:dyDescent="0.25">
      <c r="A51" s="8">
        <v>37</v>
      </c>
      <c r="B51" s="9" t="s">
        <v>44</v>
      </c>
      <c r="C51" s="10">
        <v>321</v>
      </c>
      <c r="D51" s="10">
        <v>0</v>
      </c>
      <c r="E51" s="11">
        <v>0</v>
      </c>
      <c r="F51" s="11">
        <v>10.43</v>
      </c>
      <c r="G51" s="10">
        <v>623</v>
      </c>
      <c r="H51" s="10">
        <v>0</v>
      </c>
      <c r="I51" s="11">
        <v>0</v>
      </c>
      <c r="J51" s="11">
        <v>1.0509999999999999</v>
      </c>
      <c r="K51" s="10"/>
      <c r="L51" s="10"/>
      <c r="M51" s="13">
        <v>0</v>
      </c>
      <c r="N51" s="13">
        <v>0</v>
      </c>
    </row>
    <row r="52" spans="1:14" s="3" customFormat="1" ht="27.95" customHeight="1" x14ac:dyDescent="0.25">
      <c r="A52" s="8">
        <v>38</v>
      </c>
      <c r="B52" s="9" t="s">
        <v>28</v>
      </c>
      <c r="C52" s="10">
        <v>0</v>
      </c>
      <c r="D52" s="10">
        <v>0</v>
      </c>
      <c r="E52" s="11">
        <v>70.431899999999999</v>
      </c>
      <c r="F52" s="11">
        <v>23.026169999999997</v>
      </c>
      <c r="G52" s="10">
        <v>0</v>
      </c>
      <c r="H52" s="10">
        <v>0</v>
      </c>
      <c r="I52" s="11">
        <v>4.7720000000000002</v>
      </c>
      <c r="J52" s="11">
        <v>15.8866</v>
      </c>
      <c r="K52" s="10">
        <v>0</v>
      </c>
      <c r="L52" s="10">
        <v>0</v>
      </c>
      <c r="M52" s="13">
        <v>43.94</v>
      </c>
      <c r="N52" s="13">
        <v>42.000999999999998</v>
      </c>
    </row>
    <row r="53" spans="1:14" s="3" customFormat="1" ht="27.95" customHeight="1" x14ac:dyDescent="0.25">
      <c r="A53" s="8">
        <v>39</v>
      </c>
      <c r="B53" s="9" t="s">
        <v>42</v>
      </c>
      <c r="C53" s="10">
        <v>27</v>
      </c>
      <c r="D53" s="10">
        <v>1686</v>
      </c>
      <c r="E53" s="11">
        <v>403.68400000000003</v>
      </c>
      <c r="F53" s="11">
        <v>468.31400000000002</v>
      </c>
      <c r="G53" s="10">
        <v>38</v>
      </c>
      <c r="H53" s="10">
        <v>1312</v>
      </c>
      <c r="I53" s="11">
        <v>514.29899999999998</v>
      </c>
      <c r="J53" s="11">
        <v>409.84699999999998</v>
      </c>
      <c r="K53" s="10">
        <v>242</v>
      </c>
      <c r="L53" s="10">
        <v>1809</v>
      </c>
      <c r="M53" s="13">
        <v>575.27</v>
      </c>
      <c r="N53" s="13">
        <v>654.28800000000001</v>
      </c>
    </row>
    <row r="54" spans="1:14" s="3" customFormat="1" ht="27.95" customHeight="1" x14ac:dyDescent="0.25">
      <c r="A54" s="8">
        <v>40</v>
      </c>
      <c r="B54" s="9" t="s">
        <v>49</v>
      </c>
      <c r="C54" s="10">
        <v>0</v>
      </c>
      <c r="D54" s="10">
        <v>0</v>
      </c>
      <c r="E54" s="11">
        <v>325.23500000000001</v>
      </c>
      <c r="F54" s="11">
        <v>628.56399999999996</v>
      </c>
      <c r="G54" s="10">
        <v>0</v>
      </c>
      <c r="H54" s="10">
        <v>0</v>
      </c>
      <c r="I54" s="11">
        <v>403.173</v>
      </c>
      <c r="J54" s="11">
        <v>630.91800000000001</v>
      </c>
      <c r="K54" s="10">
        <v>0</v>
      </c>
      <c r="L54" s="10">
        <v>0</v>
      </c>
      <c r="M54" s="11">
        <v>288.89600000000002</v>
      </c>
      <c r="N54" s="11">
        <v>336.91899999999998</v>
      </c>
    </row>
    <row r="55" spans="1:14" s="3" customFormat="1" ht="27.95" customHeight="1" x14ac:dyDescent="0.25">
      <c r="A55" s="8">
        <v>41</v>
      </c>
      <c r="B55" s="9" t="s">
        <v>60</v>
      </c>
      <c r="C55" s="10">
        <v>0</v>
      </c>
      <c r="D55" s="10">
        <v>0</v>
      </c>
      <c r="E55" s="11">
        <v>10.28</v>
      </c>
      <c r="F55" s="11">
        <v>50.624000000000002</v>
      </c>
      <c r="G55" s="10">
        <v>0</v>
      </c>
      <c r="H55" s="10">
        <v>0</v>
      </c>
      <c r="I55" s="11">
        <v>22.75</v>
      </c>
      <c r="J55" s="11">
        <v>0.41699999999999998</v>
      </c>
      <c r="K55" s="10">
        <v>0</v>
      </c>
      <c r="L55" s="10">
        <v>0</v>
      </c>
      <c r="M55" s="11">
        <v>294.35399999999998</v>
      </c>
      <c r="N55" s="11">
        <v>113.032</v>
      </c>
    </row>
    <row r="56" spans="1:14" s="3" customFormat="1" ht="27.95" customHeight="1" x14ac:dyDescent="0.25">
      <c r="A56" s="8">
        <v>42</v>
      </c>
      <c r="B56" s="9" t="s">
        <v>63</v>
      </c>
      <c r="C56" s="10"/>
      <c r="D56" s="10"/>
      <c r="E56" s="11">
        <v>0</v>
      </c>
      <c r="F56" s="11">
        <v>0</v>
      </c>
      <c r="G56" s="10"/>
      <c r="H56" s="10"/>
      <c r="I56" s="11">
        <v>0</v>
      </c>
      <c r="J56" s="11">
        <v>0</v>
      </c>
      <c r="K56" s="10">
        <v>39</v>
      </c>
      <c r="L56" s="10">
        <v>160</v>
      </c>
      <c r="M56" s="11">
        <v>0</v>
      </c>
      <c r="N56" s="11">
        <v>0</v>
      </c>
    </row>
    <row r="57" spans="1:14" s="3" customFormat="1" ht="27.95" customHeight="1" x14ac:dyDescent="0.25">
      <c r="A57" s="8">
        <v>43</v>
      </c>
      <c r="B57" s="9" t="s">
        <v>29</v>
      </c>
      <c r="C57" s="10">
        <v>0</v>
      </c>
      <c r="D57" s="10">
        <v>0</v>
      </c>
      <c r="E57" s="11">
        <v>3065.0273999999999</v>
      </c>
      <c r="F57" s="11">
        <v>2889.4103</v>
      </c>
      <c r="G57" s="10">
        <v>0</v>
      </c>
      <c r="H57" s="10">
        <v>0</v>
      </c>
      <c r="I57" s="11">
        <v>2728.06241</v>
      </c>
      <c r="J57" s="11">
        <v>2521.9665300000001</v>
      </c>
      <c r="K57" s="10">
        <v>0</v>
      </c>
      <c r="L57" s="10">
        <v>0</v>
      </c>
      <c r="M57" s="11">
        <v>3093.9340400000001</v>
      </c>
      <c r="N57" s="11">
        <v>3359.1139500000004</v>
      </c>
    </row>
    <row r="58" spans="1:14" s="3" customFormat="1" ht="27.95" customHeight="1" x14ac:dyDescent="0.25">
      <c r="A58" s="8">
        <v>44</v>
      </c>
      <c r="B58" s="9" t="s">
        <v>30</v>
      </c>
      <c r="C58" s="10">
        <v>13011</v>
      </c>
      <c r="D58" s="10">
        <v>13647</v>
      </c>
      <c r="E58" s="11">
        <v>222.691</v>
      </c>
      <c r="F58" s="11">
        <v>1015.272</v>
      </c>
      <c r="G58" s="10">
        <v>19127</v>
      </c>
      <c r="H58" s="10">
        <v>13251</v>
      </c>
      <c r="I58" s="11">
        <v>628.57799999999997</v>
      </c>
      <c r="J58" s="11">
        <v>829.99800000000005</v>
      </c>
      <c r="K58" s="10"/>
      <c r="L58" s="10"/>
      <c r="M58" s="11">
        <v>0</v>
      </c>
      <c r="N58" s="11">
        <v>0</v>
      </c>
    </row>
    <row r="59" spans="1:14" s="3" customFormat="1" ht="27.95" customHeight="1" x14ac:dyDescent="0.25">
      <c r="A59" s="8">
        <v>45</v>
      </c>
      <c r="B59" s="9" t="s">
        <v>58</v>
      </c>
      <c r="C59" s="10">
        <v>150</v>
      </c>
      <c r="D59" s="10">
        <v>119</v>
      </c>
      <c r="E59" s="11">
        <v>5.0999999999999997E-2</v>
      </c>
      <c r="F59" s="11">
        <v>0</v>
      </c>
      <c r="G59" s="10">
        <v>1102</v>
      </c>
      <c r="H59" s="10">
        <v>826</v>
      </c>
      <c r="I59" s="11">
        <v>9.6000000000000002E-2</v>
      </c>
      <c r="J59" s="11">
        <v>0.74199999999999999</v>
      </c>
      <c r="K59" s="10">
        <v>1472</v>
      </c>
      <c r="L59" s="10">
        <v>1584</v>
      </c>
      <c r="M59" s="11">
        <v>0.17299999999999999</v>
      </c>
      <c r="N59" s="11">
        <v>1.2230000000000001</v>
      </c>
    </row>
    <row r="60" spans="1:14" s="3" customFormat="1" ht="27.95" customHeight="1" x14ac:dyDescent="0.25">
      <c r="A60" s="8">
        <v>46</v>
      </c>
      <c r="B60" s="9" t="s">
        <v>31</v>
      </c>
      <c r="C60" s="10">
        <v>145</v>
      </c>
      <c r="D60" s="10">
        <v>201</v>
      </c>
      <c r="E60" s="11">
        <v>1.6559999999999999</v>
      </c>
      <c r="F60" s="11">
        <v>1.0900000000000001</v>
      </c>
      <c r="G60" s="10">
        <v>400</v>
      </c>
      <c r="H60" s="10">
        <v>334</v>
      </c>
      <c r="I60" s="11">
        <v>4.6050000000000004</v>
      </c>
      <c r="J60" s="11">
        <v>16.966000000000001</v>
      </c>
      <c r="K60" s="10">
        <v>564</v>
      </c>
      <c r="L60" s="10">
        <v>435</v>
      </c>
      <c r="M60" s="11">
        <v>1.4770000000000001</v>
      </c>
      <c r="N60" s="11">
        <v>19.193999999999999</v>
      </c>
    </row>
    <row r="61" spans="1:14" s="3" customFormat="1" ht="27.95" customHeight="1" x14ac:dyDescent="0.25">
      <c r="A61" s="8">
        <v>47</v>
      </c>
      <c r="B61" s="9" t="s">
        <v>32</v>
      </c>
      <c r="C61" s="10">
        <v>944</v>
      </c>
      <c r="D61" s="10">
        <v>1639</v>
      </c>
      <c r="E61" s="11">
        <v>191.33099999999999</v>
      </c>
      <c r="F61" s="11">
        <v>347.56900000000002</v>
      </c>
      <c r="G61" s="10">
        <v>1218</v>
      </c>
      <c r="H61" s="10">
        <v>963</v>
      </c>
      <c r="I61" s="11">
        <v>267.07400000000001</v>
      </c>
      <c r="J61" s="11">
        <v>386.50400000000002</v>
      </c>
      <c r="K61" s="10">
        <v>1737</v>
      </c>
      <c r="L61" s="10">
        <v>890</v>
      </c>
      <c r="M61" s="11">
        <v>188.255</v>
      </c>
      <c r="N61" s="11">
        <v>287.31299999999999</v>
      </c>
    </row>
    <row r="62" spans="1:14" s="3" customFormat="1" ht="27.95" customHeight="1" x14ac:dyDescent="0.25">
      <c r="A62" s="8">
        <v>48</v>
      </c>
      <c r="B62" s="9" t="s">
        <v>33</v>
      </c>
      <c r="C62" s="10">
        <v>0</v>
      </c>
      <c r="D62" s="10">
        <v>149</v>
      </c>
      <c r="E62" s="11">
        <v>0</v>
      </c>
      <c r="F62" s="11">
        <v>0</v>
      </c>
      <c r="G62" s="10">
        <v>0</v>
      </c>
      <c r="H62" s="10">
        <v>146</v>
      </c>
      <c r="I62" s="11">
        <v>0</v>
      </c>
      <c r="J62" s="11">
        <v>0</v>
      </c>
      <c r="K62" s="10">
        <v>104</v>
      </c>
      <c r="L62" s="10">
        <v>152</v>
      </c>
      <c r="M62" s="11">
        <v>0</v>
      </c>
      <c r="N62" s="11">
        <v>0</v>
      </c>
    </row>
    <row r="63" spans="1:14" ht="27.75" customHeight="1" x14ac:dyDescent="0.25">
      <c r="A63" s="30" t="s">
        <v>34</v>
      </c>
      <c r="B63" s="30"/>
      <c r="C63" s="16">
        <f t="shared" ref="C63:N63" si="1">SUM(C15:C62)</f>
        <v>117941</v>
      </c>
      <c r="D63" s="16">
        <f t="shared" si="1"/>
        <v>115310</v>
      </c>
      <c r="E63" s="17">
        <f t="shared" si="1"/>
        <v>38466.044069999996</v>
      </c>
      <c r="F63" s="17">
        <f t="shared" si="1"/>
        <v>45739.333069999993</v>
      </c>
      <c r="G63" s="16">
        <f t="shared" si="1"/>
        <v>185257</v>
      </c>
      <c r="H63" s="16">
        <f t="shared" si="1"/>
        <v>138072</v>
      </c>
      <c r="I63" s="17">
        <f t="shared" si="1"/>
        <v>38018.207279999995</v>
      </c>
      <c r="J63" s="17">
        <f t="shared" si="1"/>
        <v>42485.664379999995</v>
      </c>
      <c r="K63" s="16">
        <f t="shared" si="1"/>
        <v>204243</v>
      </c>
      <c r="L63" s="16">
        <f t="shared" si="1"/>
        <v>187563</v>
      </c>
      <c r="M63" s="17">
        <f t="shared" si="1"/>
        <v>42206.154299999995</v>
      </c>
      <c r="N63" s="17">
        <f t="shared" si="1"/>
        <v>48244.309449999993</v>
      </c>
    </row>
    <row r="64" spans="1:14" ht="41.25" customHeight="1" x14ac:dyDescent="0.25">
      <c r="A64" s="31" t="s">
        <v>35</v>
      </c>
      <c r="B64" s="32"/>
      <c r="C64" s="18">
        <f t="shared" ref="C64:N64" si="2">C13+C63</f>
        <v>397346</v>
      </c>
      <c r="D64" s="18">
        <f t="shared" si="2"/>
        <v>334982</v>
      </c>
      <c r="E64" s="19">
        <f t="shared" si="2"/>
        <v>43256.538179999996</v>
      </c>
      <c r="F64" s="19">
        <f t="shared" si="2"/>
        <v>52956.289389999991</v>
      </c>
      <c r="G64" s="18">
        <f t="shared" si="2"/>
        <v>532752</v>
      </c>
      <c r="H64" s="18">
        <f t="shared" si="2"/>
        <v>370225</v>
      </c>
      <c r="I64" s="19">
        <f t="shared" si="2"/>
        <v>41988.472959999999</v>
      </c>
      <c r="J64" s="19">
        <f t="shared" si="2"/>
        <v>49655.243399999992</v>
      </c>
      <c r="K64" s="18">
        <f t="shared" si="2"/>
        <v>592013</v>
      </c>
      <c r="L64" s="18">
        <f t="shared" si="2"/>
        <v>504085</v>
      </c>
      <c r="M64" s="19">
        <f t="shared" si="2"/>
        <v>46054.860679999998</v>
      </c>
      <c r="N64" s="19">
        <f t="shared" si="2"/>
        <v>55283.595609999989</v>
      </c>
    </row>
    <row r="65" spans="1:14" s="3" customFormat="1" ht="20.25" customHeight="1" x14ac:dyDescent="0.25">
      <c r="A65" s="33" t="s">
        <v>43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 spans="1:14" s="3" customFormat="1" ht="30.75" customHeight="1" x14ac:dyDescent="0.25">
      <c r="A66" s="33" t="s">
        <v>73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</row>
    <row r="67" spans="1:14" s="3" customFormat="1" ht="21" customHeight="1" x14ac:dyDescent="0.25">
      <c r="A67" s="26" t="s">
        <v>41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</row>
    <row r="68" spans="1:14" ht="18.75" customHeight="1" x14ac:dyDescent="0.25"/>
    <row r="69" spans="1:14" ht="18.75" customHeight="1" x14ac:dyDescent="0.25"/>
    <row r="70" spans="1:14" ht="18.75" customHeight="1" x14ac:dyDescent="0.25"/>
  </sheetData>
  <mergeCells count="15">
    <mergeCell ref="A67:N67"/>
    <mergeCell ref="A65:N65"/>
    <mergeCell ref="A5:N5"/>
    <mergeCell ref="A13:B13"/>
    <mergeCell ref="A14:N14"/>
    <mergeCell ref="A63:B63"/>
    <mergeCell ref="A64:B64"/>
    <mergeCell ref="A66:N66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60" fitToHeight="2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2022-03-24T07:59:05Z</dcterms:modified>
</cp:coreProperties>
</file>