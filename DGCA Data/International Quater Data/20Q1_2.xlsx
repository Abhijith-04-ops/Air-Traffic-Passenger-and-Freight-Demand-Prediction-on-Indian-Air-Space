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filterPrivacy="1" defaultThemeVersion="124226"/>
  <xr:revisionPtr revIDLastSave="0" documentId="13_ncr:1_{7C81AF66-2B88-4CC7-B731-9C8F745E75E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MONTHWISE!$A$1:$N$94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91029"/>
</workbook>
</file>

<file path=xl/calcChain.xml><?xml version="1.0" encoding="utf-8"?>
<calcChain xmlns="http://schemas.openxmlformats.org/spreadsheetml/2006/main">
  <c r="D91" i="2" l="1"/>
  <c r="E91" i="2"/>
  <c r="F91" i="2"/>
  <c r="G91" i="2"/>
  <c r="H91" i="2"/>
  <c r="I91" i="2"/>
  <c r="J91" i="2"/>
  <c r="K91" i="2"/>
  <c r="L91" i="2"/>
  <c r="M91" i="2"/>
  <c r="N91" i="2"/>
  <c r="C91" i="2"/>
  <c r="L13" i="2" l="1"/>
  <c r="L92" i="2" s="1"/>
  <c r="M13" i="2"/>
  <c r="M92" i="2" s="1"/>
  <c r="N13" i="2"/>
  <c r="N92" i="2" s="1"/>
  <c r="D13" i="2" l="1"/>
  <c r="D92" i="2" s="1"/>
  <c r="E13" i="2"/>
  <c r="E92" i="2" s="1"/>
  <c r="F13" i="2"/>
  <c r="F92" i="2" s="1"/>
  <c r="G13" i="2"/>
  <c r="G92" i="2" s="1"/>
  <c r="H13" i="2"/>
  <c r="H92" i="2" s="1"/>
  <c r="I13" i="2"/>
  <c r="I92" i="2" s="1"/>
  <c r="J13" i="2"/>
  <c r="J92" i="2" s="1"/>
  <c r="K13" i="2"/>
  <c r="K92" i="2" s="1"/>
  <c r="C13" i="2" l="1"/>
  <c r="C92" i="2" l="1"/>
</calcChain>
</file>

<file path=xl/sharedStrings.xml><?xml version="1.0" encoding="utf-8"?>
<sst xmlns="http://schemas.openxmlformats.org/spreadsheetml/2006/main" count="109" uniqueCount="101">
  <si>
    <t>NAME OF THE AIRLINE</t>
  </si>
  <si>
    <t>DOMESTIC CARRIERS</t>
  </si>
  <si>
    <t>AIR INDIA</t>
  </si>
  <si>
    <t>AIR INDIA EXPRESS</t>
  </si>
  <si>
    <t>INDIGO</t>
  </si>
  <si>
    <t>SPICEJET</t>
  </si>
  <si>
    <t>TOTAL (DOMESTIC CARRIERS)</t>
  </si>
  <si>
    <t xml:space="preserve">FOREIGN CARRIERS </t>
  </si>
  <si>
    <t>AEROFLOT</t>
  </si>
  <si>
    <t>AEROLOGIC</t>
  </si>
  <si>
    <t>AIR ARABIA</t>
  </si>
  <si>
    <t>AIR ASIA BERHAD</t>
  </si>
  <si>
    <t>AIR ASTANA</t>
  </si>
  <si>
    <t>AIR AUSTRAL</t>
  </si>
  <si>
    <t>AIR CHINA</t>
  </si>
  <si>
    <t>AIR FRANCE</t>
  </si>
  <si>
    <t>AIR MAURITIUS</t>
  </si>
  <si>
    <t>AIR SEYCHELLES</t>
  </si>
  <si>
    <t>ALL NIPPON AIRWAYS</t>
  </si>
  <si>
    <t>ARIANA AFGHAN</t>
  </si>
  <si>
    <t>BANGKOK AIRWAYS</t>
  </si>
  <si>
    <t>BHUTAN AIRLINES</t>
  </si>
  <si>
    <t>BIMAN BANGLADESH</t>
  </si>
  <si>
    <t>BRITISH AIRWAYS</t>
  </si>
  <si>
    <t>CATHAY PACIFIC</t>
  </si>
  <si>
    <t>CHINA AIRLINES LTD</t>
  </si>
  <si>
    <t>CHINA EASTERN AIRLINES</t>
  </si>
  <si>
    <t xml:space="preserve">CHINA SOUTHERN </t>
  </si>
  <si>
    <t>DRAGON AIR</t>
  </si>
  <si>
    <t>DRUK AIR</t>
  </si>
  <si>
    <t>EGYPT AIR</t>
  </si>
  <si>
    <t>EL-AL-ISRAEL</t>
  </si>
  <si>
    <t>EMIRATES AIRLINE</t>
  </si>
  <si>
    <t>ETHIOPIAN AIRLINES</t>
  </si>
  <si>
    <t>ETIHAD AIRLINES</t>
  </si>
  <si>
    <t>FEDERAL EXPRESS</t>
  </si>
  <si>
    <t>FINN AIR</t>
  </si>
  <si>
    <t>FLY DUBAI</t>
  </si>
  <si>
    <t>GULF AIR</t>
  </si>
  <si>
    <t>IRAN AIR</t>
  </si>
  <si>
    <t>IRAQI AIRWAYS</t>
  </si>
  <si>
    <t>ISLAND AVIATION SERVICES</t>
  </si>
  <si>
    <t>JAPAN AIRLINES</t>
  </si>
  <si>
    <t>KALITTA AIR</t>
  </si>
  <si>
    <t>KAM AIR</t>
  </si>
  <si>
    <t>KENYA AIRWAYS</t>
  </si>
  <si>
    <t>KLM AIRLINES</t>
  </si>
  <si>
    <t>KOREAN AIR</t>
  </si>
  <si>
    <t>KUWAIT AIRWAYS</t>
  </si>
  <si>
    <t>LUFTHANSA</t>
  </si>
  <si>
    <t>MAHAN AIR</t>
  </si>
  <si>
    <t>MALAYSIA AIRLINES</t>
  </si>
  <si>
    <t>MALINDO AIRWAYS</t>
  </si>
  <si>
    <t>MYANMAR AIRLINES</t>
  </si>
  <si>
    <t>NEPAL AIRLINES CORPORATION</t>
  </si>
  <si>
    <t>OMAN AIR</t>
  </si>
  <si>
    <t>QATAR AIRWAYS</t>
  </si>
  <si>
    <t>REGENT AIRWAYS</t>
  </si>
  <si>
    <t>SAUDIA</t>
  </si>
  <si>
    <t>SHANDONG AIRLINES</t>
  </si>
  <si>
    <t>SILK AIR</t>
  </si>
  <si>
    <t>SINGAPORE AIRLINES</t>
  </si>
  <si>
    <t>SWISS AIR</t>
  </si>
  <si>
    <t>THAI AIR ASIA</t>
  </si>
  <si>
    <t>THAI AIRWAYS</t>
  </si>
  <si>
    <t>TURKISH AIRLINES</t>
  </si>
  <si>
    <t>TURKMENISTAN AIRLINES</t>
  </si>
  <si>
    <t>UNITED AIRLINES</t>
  </si>
  <si>
    <t>UZBEKISTAN AIRWAYS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</si>
  <si>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</si>
  <si>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</si>
  <si>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</si>
  <si>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</si>
  <si>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</si>
  <si>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</si>
  <si>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</si>
  <si>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</si>
  <si>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</si>
  <si>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AIR ASIA X</t>
  </si>
  <si>
    <t>BUDDHA AIR</t>
  </si>
  <si>
    <t>P-Provisional</t>
  </si>
  <si>
    <t>NOVO AIR</t>
  </si>
  <si>
    <t>THAI SMILE AIRWAYS</t>
  </si>
  <si>
    <t>US BANGLA AIRLINES</t>
  </si>
  <si>
    <t>BATIK AIR</t>
  </si>
  <si>
    <t>SRILANKAN AIRWAYS</t>
  </si>
  <si>
    <t>THAI LION AIR</t>
  </si>
  <si>
    <t>Note: 1. This table does not include the passengers and freight carried by domestic carriers entirely outside the Indian territory.</t>
  </si>
  <si>
    <t>RWANDAIR</t>
  </si>
  <si>
    <t>SCOOT TIGER AIR</t>
  </si>
  <si>
    <t>GO AIR</t>
  </si>
  <si>
    <t>FLYNAS</t>
  </si>
  <si>
    <t>ROSSIYA AIRLINES</t>
  </si>
  <si>
    <t>SCAT AIRLINES</t>
  </si>
  <si>
    <t>JANUARY</t>
  </si>
  <si>
    <t>FEBRUARY</t>
  </si>
  <si>
    <t>MARCH</t>
  </si>
  <si>
    <t>SL. No.</t>
  </si>
  <si>
    <t>TABLE 2. AIRLINEWISE MONTHLY INTERNATIONAL TRAFFIC (SCHEDULED) STATISTICS FOR THE QUARTER JAN-MAR 2020 (P)</t>
  </si>
  <si>
    <t>ALLIANCE AIR</t>
  </si>
  <si>
    <t>VISTARA AIRLINES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</si>
</sst>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/>
    <xf numFmtId="0" fontId="0" fillId="0" borderId="0" xfId="0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right" vertical="center"/>
    </xf>
    <xf numFmtId="164" fontId="3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vertical="center"/>
    </xf>
    <xf numFmtId="0" fontId="3" fillId="6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0" fillId="6" borderId="0" xfId="0" applyFill="1" applyAlignment="1">
      <alignment vertical="center"/>
    </xf>
    <xf numFmtId="164" fontId="4" fillId="0" borderId="1" xfId="0" applyNumberFormat="1" applyFont="1" applyFill="1" applyBorder="1" applyAlignment="1">
      <alignment vertical="center"/>
    </xf>
    <xf numFmtId="0" fontId="0" fillId="0" borderId="0" xfId="0" applyFill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7"/>
  <sheetViews>
    <sheetView tabSelected="1" view="pageBreakPreview" topLeftCell="E88" zoomScaleSheetLayoutView="100" workbookViewId="0">
      <selection activeCell="I101" sqref="I101"/>
    </sheetView>
  </sheetViews>
  <sheetFormatPr defaultRowHeight="15" x14ac:dyDescent="0.25"/>
  <cols>
    <col min="1" max="1" width="9" customWidth="1"/>
    <col min="2" max="2" width="41.5703125" style="5" customWidth="1"/>
    <col min="3" max="14" width="16.7109375" customWidth="1"/>
    <col min="15" max="25" width="12.42578125" customWidth="1"/>
  </cols>
  <sheetData>
    <row r="1" spans="1:14" ht="40.5" customHeight="1" x14ac:dyDescent="0.25">
      <c r="A1" s="38" t="s">
        <v>98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s="1" customFormat="1" ht="25.5" customHeight="1" x14ac:dyDescent="0.25">
      <c r="A2" s="39" t="s">
        <v>73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</row>
    <row r="3" spans="1:14" ht="21" customHeight="1" x14ac:dyDescent="0.25">
      <c r="A3" s="40" t="s">
        <v>97</v>
      </c>
      <c r="B3" s="41" t="s">
        <v>0</v>
      </c>
      <c r="C3" s="40" t="s">
        <v>94</v>
      </c>
      <c r="D3" s="40"/>
      <c r="E3" s="40"/>
      <c r="F3" s="40"/>
      <c r="G3" s="40" t="s">
        <v>95</v>
      </c>
      <c r="H3" s="40"/>
      <c r="I3" s="40"/>
      <c r="J3" s="40"/>
      <c r="K3" s="40" t="s">
        <v>96</v>
      </c>
      <c r="L3" s="40"/>
      <c r="M3" s="40"/>
      <c r="N3" s="40"/>
    </row>
    <row r="4" spans="1:14" ht="42" customHeight="1" x14ac:dyDescent="0.25">
      <c r="A4" s="40"/>
      <c r="B4" s="41"/>
      <c r="C4" s="2" t="s">
        <v>74</v>
      </c>
      <c r="D4" s="2" t="s">
        <v>75</v>
      </c>
      <c r="E4" s="2" t="s">
        <v>76</v>
      </c>
      <c r="F4" s="2" t="s">
        <v>77</v>
      </c>
      <c r="G4" s="2" t="s">
        <v>74</v>
      </c>
      <c r="H4" s="2" t="s">
        <v>75</v>
      </c>
      <c r="I4" s="2" t="s">
        <v>76</v>
      </c>
      <c r="J4" s="2" t="s">
        <v>77</v>
      </c>
      <c r="K4" s="2" t="s">
        <v>74</v>
      </c>
      <c r="L4" s="2" t="s">
        <v>75</v>
      </c>
      <c r="M4" s="2" t="s">
        <v>76</v>
      </c>
      <c r="N4" s="2" t="s">
        <v>77</v>
      </c>
    </row>
    <row r="5" spans="1:14" ht="41.25" customHeight="1" x14ac:dyDescent="0.25">
      <c r="A5" s="33" t="s">
        <v>1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spans="1:14" ht="27.95" customHeight="1" x14ac:dyDescent="0.25">
      <c r="A6" s="9">
        <v>1</v>
      </c>
      <c r="B6" s="28" t="s">
        <v>2</v>
      </c>
      <c r="C6">
        <v>343507</v>
      </c>
      <c r="D6">
        <v>337816</v>
      </c>
      <c r="E6">
        <v>3964.2358000000004</v>
      </c>
      <c r="F6">
        <v>7582.3700000000026</v>
      </c>
      <c r="G6">
        <v>293335</v>
      </c>
      <c r="H6">
        <v>297902</v>
      </c>
      <c r="I6">
        <v>3540.0702999999994</v>
      </c>
      <c r="J6">
        <v>7482.5006000000012</v>
      </c>
      <c r="K6">
        <v>146211</v>
      </c>
      <c r="L6">
        <v>147608</v>
      </c>
      <c r="M6">
        <v>2143.2398000000003</v>
      </c>
      <c r="N6">
        <v>5128.6707000000015</v>
      </c>
    </row>
    <row r="7" spans="1:14" ht="27.95" customHeight="1" x14ac:dyDescent="0.25">
      <c r="A7" s="9">
        <v>2</v>
      </c>
      <c r="B7" s="28" t="s">
        <v>3</v>
      </c>
      <c r="C7">
        <v>211840</v>
      </c>
      <c r="D7">
        <v>226717</v>
      </c>
      <c r="E7">
        <v>44.03</v>
      </c>
      <c r="F7">
        <v>1837.9159999999999</v>
      </c>
      <c r="G7">
        <v>176086</v>
      </c>
      <c r="H7">
        <v>197659</v>
      </c>
      <c r="I7">
        <v>42.734000000000002</v>
      </c>
      <c r="J7">
        <v>1958.6980000000001</v>
      </c>
      <c r="K7">
        <v>102687</v>
      </c>
      <c r="L7">
        <v>98811</v>
      </c>
      <c r="M7">
        <v>20.239000000000001</v>
      </c>
      <c r="N7">
        <v>1396.1089999999999</v>
      </c>
    </row>
    <row r="8" spans="1:14" ht="27.95" customHeight="1" x14ac:dyDescent="0.25">
      <c r="A8" s="9">
        <v>3</v>
      </c>
      <c r="B8" s="28" t="s">
        <v>99</v>
      </c>
      <c r="C8">
        <v>564</v>
      </c>
      <c r="D8">
        <v>617</v>
      </c>
      <c r="E8">
        <v>0</v>
      </c>
      <c r="F8">
        <v>0</v>
      </c>
      <c r="G8">
        <v>549</v>
      </c>
      <c r="H8">
        <v>457</v>
      </c>
      <c r="I8">
        <v>0</v>
      </c>
      <c r="J8">
        <v>0</v>
      </c>
      <c r="K8">
        <v>239</v>
      </c>
      <c r="L8">
        <v>236</v>
      </c>
      <c r="M8">
        <v>0</v>
      </c>
      <c r="N8">
        <v>0</v>
      </c>
    </row>
    <row r="9" spans="1:14" ht="27.95" customHeight="1" x14ac:dyDescent="0.25">
      <c r="A9" s="9">
        <v>4</v>
      </c>
      <c r="B9" s="28" t="s">
        <v>90</v>
      </c>
      <c r="C9">
        <v>59255</v>
      </c>
      <c r="D9">
        <v>65780</v>
      </c>
      <c r="E9">
        <v>0</v>
      </c>
      <c r="F9">
        <v>0</v>
      </c>
      <c r="G9">
        <v>37618</v>
      </c>
      <c r="H9">
        <v>43730</v>
      </c>
      <c r="I9">
        <v>0.251</v>
      </c>
      <c r="J9">
        <v>18.021000000000001</v>
      </c>
      <c r="K9">
        <v>13281</v>
      </c>
      <c r="L9">
        <v>15542</v>
      </c>
      <c r="M9">
        <v>0.251</v>
      </c>
      <c r="N9">
        <v>18.021000000000001</v>
      </c>
    </row>
    <row r="10" spans="1:14" ht="27.95" customHeight="1" x14ac:dyDescent="0.25">
      <c r="A10" s="9">
        <v>5</v>
      </c>
      <c r="B10" s="28" t="s">
        <v>4</v>
      </c>
      <c r="C10">
        <v>374239</v>
      </c>
      <c r="D10">
        <v>377744</v>
      </c>
      <c r="E10">
        <v>451.90699999999998</v>
      </c>
      <c r="F10">
        <v>2825.0140000000001</v>
      </c>
      <c r="G10">
        <v>300755</v>
      </c>
      <c r="H10">
        <v>320632</v>
      </c>
      <c r="I10">
        <v>387.84100000000001</v>
      </c>
      <c r="J10">
        <v>3293.442</v>
      </c>
      <c r="K10">
        <v>130267</v>
      </c>
      <c r="L10">
        <v>128976</v>
      </c>
      <c r="M10">
        <v>261.79000000000002</v>
      </c>
      <c r="N10">
        <v>1863.011</v>
      </c>
    </row>
    <row r="11" spans="1:14" ht="27.95" customHeight="1" x14ac:dyDescent="0.25">
      <c r="A11" s="9">
        <v>6</v>
      </c>
      <c r="B11" s="28" t="s">
        <v>5</v>
      </c>
      <c r="C11">
        <v>138902</v>
      </c>
      <c r="D11">
        <v>137773</v>
      </c>
      <c r="E11">
        <v>464.85566</v>
      </c>
      <c r="F11">
        <v>1605.27874</v>
      </c>
      <c r="G11">
        <v>115057</v>
      </c>
      <c r="H11">
        <v>118392</v>
      </c>
      <c r="I11">
        <v>502.20832000000007</v>
      </c>
      <c r="J11">
        <v>1700.4103599999999</v>
      </c>
      <c r="K11">
        <v>62321</v>
      </c>
      <c r="L11">
        <v>52727</v>
      </c>
      <c r="M11">
        <v>543.04432000000008</v>
      </c>
      <c r="N11">
        <v>1221.83926</v>
      </c>
    </row>
    <row r="12" spans="1:14" ht="27.95" customHeight="1" x14ac:dyDescent="0.25">
      <c r="A12" s="9">
        <v>7</v>
      </c>
      <c r="B12" s="28" t="s">
        <v>100</v>
      </c>
      <c r="C12">
        <v>16359</v>
      </c>
      <c r="D12">
        <v>19123</v>
      </c>
      <c r="E12">
        <v>0</v>
      </c>
      <c r="F12">
        <v>0</v>
      </c>
      <c r="G12">
        <v>15523</v>
      </c>
      <c r="H12">
        <v>17297</v>
      </c>
      <c r="I12">
        <v>0</v>
      </c>
      <c r="J12">
        <v>0</v>
      </c>
      <c r="K12">
        <v>6766</v>
      </c>
      <c r="L12">
        <v>7724</v>
      </c>
      <c r="M12">
        <v>0</v>
      </c>
      <c r="N12">
        <v>0</v>
      </c>
    </row>
    <row r="13" spans="1:14" ht="31.5" customHeight="1" x14ac:dyDescent="0.25">
      <c r="A13" s="34" t="s">
        <v>6</v>
      </c>
      <c r="B13" s="34"/>
      <c r="C13" s="14">
        <f>SUM(C6:C12)</f>
        <v>1144666</v>
      </c>
      <c r="D13" s="14">
        <f t="shared" ref="D13:N13" si="0">SUM(D6:D12)</f>
        <v>1165570</v>
      </c>
      <c r="E13" s="15">
        <f t="shared" si="0"/>
        <v>4925.0284600000005</v>
      </c>
      <c r="F13" s="15">
        <f t="shared" si="0"/>
        <v>13850.578740000003</v>
      </c>
      <c r="G13" s="14">
        <f t="shared" si="0"/>
        <v>938923</v>
      </c>
      <c r="H13" s="14">
        <f t="shared" si="0"/>
        <v>996069</v>
      </c>
      <c r="I13" s="15">
        <f t="shared" si="0"/>
        <v>4473.1046199999992</v>
      </c>
      <c r="J13" s="15">
        <f t="shared" si="0"/>
        <v>14453.071960000003</v>
      </c>
      <c r="K13" s="14">
        <f t="shared" si="0"/>
        <v>461772</v>
      </c>
      <c r="L13" s="14">
        <f t="shared" si="0"/>
        <v>451624</v>
      </c>
      <c r="M13" s="15">
        <f t="shared" si="0"/>
        <v>2968.5641200000005</v>
      </c>
      <c r="N13" s="15">
        <f t="shared" si="0"/>
        <v>9627.6509600000009</v>
      </c>
    </row>
    <row r="14" spans="1:14" ht="31.5" customHeight="1" x14ac:dyDescent="0.25">
      <c r="A14" s="35" t="s">
        <v>7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</row>
    <row r="15" spans="1:14" ht="31.5" customHeight="1" x14ac:dyDescent="0.25">
      <c r="A15" s="9">
        <v>1</v>
      </c>
      <c r="B15" s="10" t="s">
        <v>8</v>
      </c>
      <c r="C15" s="16">
        <v>12479</v>
      </c>
      <c r="D15" s="16">
        <v>15894</v>
      </c>
      <c r="E15" s="17">
        <v>30.443999999999999</v>
      </c>
      <c r="F15" s="17">
        <v>147.33600000000001</v>
      </c>
      <c r="G15" s="16">
        <v>12571</v>
      </c>
      <c r="H15" s="16">
        <v>14772</v>
      </c>
      <c r="I15" s="17">
        <v>75.814999999999998</v>
      </c>
      <c r="J15" s="17">
        <v>216.00299999999999</v>
      </c>
      <c r="K15" s="16"/>
      <c r="L15" s="16"/>
      <c r="M15" s="17">
        <v>0</v>
      </c>
      <c r="N15" s="17">
        <v>0</v>
      </c>
    </row>
    <row r="16" spans="1:14" ht="31.5" customHeight="1" x14ac:dyDescent="0.25">
      <c r="A16" s="9">
        <v>2</v>
      </c>
      <c r="B16" s="18" t="s">
        <v>9</v>
      </c>
      <c r="C16" s="16">
        <v>0</v>
      </c>
      <c r="D16" s="16">
        <v>0</v>
      </c>
      <c r="E16" s="25">
        <v>2884.9</v>
      </c>
      <c r="F16" s="25">
        <v>3939.6990000000001</v>
      </c>
      <c r="G16" s="16">
        <v>0</v>
      </c>
      <c r="H16" s="16">
        <v>0</v>
      </c>
      <c r="I16" s="17">
        <v>3978.7890000000002</v>
      </c>
      <c r="J16" s="17">
        <v>4627.7089999999998</v>
      </c>
      <c r="K16" s="16">
        <v>0</v>
      </c>
      <c r="L16" s="16">
        <v>0</v>
      </c>
      <c r="M16" s="17">
        <v>810.23299999999995</v>
      </c>
      <c r="N16" s="17">
        <v>4422.9089999999997</v>
      </c>
    </row>
    <row r="17" spans="1:15" ht="31.5" customHeight="1" x14ac:dyDescent="0.25">
      <c r="A17" s="9">
        <v>3</v>
      </c>
      <c r="B17" s="10" t="s">
        <v>10</v>
      </c>
      <c r="C17" s="16">
        <v>76243</v>
      </c>
      <c r="D17" s="16">
        <v>77523</v>
      </c>
      <c r="E17" s="17">
        <v>128.87700000000001</v>
      </c>
      <c r="F17" s="17">
        <v>1212.125</v>
      </c>
      <c r="G17" s="16">
        <v>67836</v>
      </c>
      <c r="H17" s="16">
        <v>70967</v>
      </c>
      <c r="I17" s="17">
        <v>184.535</v>
      </c>
      <c r="J17" s="17">
        <v>1097.0039999999999</v>
      </c>
      <c r="K17" s="19">
        <v>39672</v>
      </c>
      <c r="L17" s="19">
        <v>33894</v>
      </c>
      <c r="M17" s="25">
        <v>122.392</v>
      </c>
      <c r="N17" s="25">
        <v>1143.934</v>
      </c>
    </row>
    <row r="18" spans="1:15" ht="31.5" customHeight="1" x14ac:dyDescent="0.25">
      <c r="A18" s="9">
        <v>4</v>
      </c>
      <c r="B18" s="10" t="s">
        <v>11</v>
      </c>
      <c r="C18" s="16">
        <v>56362</v>
      </c>
      <c r="D18" s="16">
        <v>56021</v>
      </c>
      <c r="E18" s="17">
        <v>242.02</v>
      </c>
      <c r="F18" s="17">
        <v>410.90600000000001</v>
      </c>
      <c r="G18" s="16">
        <v>39473</v>
      </c>
      <c r="H18" s="16">
        <v>46578</v>
      </c>
      <c r="I18" s="17">
        <v>127.03700000000001</v>
      </c>
      <c r="J18" s="17">
        <v>393.41199999999998</v>
      </c>
      <c r="K18" s="16"/>
      <c r="L18" s="16"/>
      <c r="M18" s="17">
        <v>0</v>
      </c>
      <c r="N18" s="17">
        <v>0</v>
      </c>
      <c r="O18" s="20"/>
    </row>
    <row r="19" spans="1:15" ht="31.5" customHeight="1" x14ac:dyDescent="0.25">
      <c r="A19" s="9">
        <v>5</v>
      </c>
      <c r="B19" s="10" t="s">
        <v>78</v>
      </c>
      <c r="C19" s="16">
        <v>14613</v>
      </c>
      <c r="D19" s="16">
        <v>13912</v>
      </c>
      <c r="E19" s="17">
        <v>158.63399999999999</v>
      </c>
      <c r="F19" s="17">
        <v>220.458</v>
      </c>
      <c r="G19" s="16">
        <v>11971</v>
      </c>
      <c r="H19" s="16">
        <v>14100</v>
      </c>
      <c r="I19" s="17">
        <v>126.99</v>
      </c>
      <c r="J19" s="17">
        <v>240.76499999999999</v>
      </c>
      <c r="K19" s="16">
        <v>4969</v>
      </c>
      <c r="L19" s="16">
        <v>6045</v>
      </c>
      <c r="M19" s="17">
        <v>75.224000000000004</v>
      </c>
      <c r="N19" s="17">
        <v>170.48699999999999</v>
      </c>
    </row>
    <row r="20" spans="1:15" ht="31.5" customHeight="1" x14ac:dyDescent="0.25">
      <c r="A20" s="9">
        <v>6</v>
      </c>
      <c r="B20" s="10" t="s">
        <v>12</v>
      </c>
      <c r="C20" s="19">
        <v>6700</v>
      </c>
      <c r="D20" s="19">
        <v>6736</v>
      </c>
      <c r="E20" s="17">
        <v>7.5350000000000001</v>
      </c>
      <c r="F20" s="17">
        <v>60.024000000000001</v>
      </c>
      <c r="G20" s="16">
        <v>6624</v>
      </c>
      <c r="H20" s="16">
        <v>7591</v>
      </c>
      <c r="I20" s="17">
        <v>11.343999999999999</v>
      </c>
      <c r="J20" s="17">
        <v>59.65</v>
      </c>
      <c r="K20" s="16">
        <v>4887</v>
      </c>
      <c r="L20" s="16">
        <v>4525</v>
      </c>
      <c r="M20" s="17">
        <v>0.76200000000000001</v>
      </c>
      <c r="N20" s="17">
        <v>72.7</v>
      </c>
    </row>
    <row r="21" spans="1:15" s="3" customFormat="1" ht="27.95" customHeight="1" x14ac:dyDescent="0.25">
      <c r="A21" s="9">
        <v>7</v>
      </c>
      <c r="B21" s="13" t="s">
        <v>13</v>
      </c>
      <c r="C21" s="19">
        <v>913</v>
      </c>
      <c r="D21" s="19">
        <v>1138</v>
      </c>
      <c r="E21" s="17">
        <v>6.9000000000000006E-2</v>
      </c>
      <c r="F21" s="17">
        <v>0.08</v>
      </c>
      <c r="G21" s="16">
        <v>461</v>
      </c>
      <c r="H21" s="16">
        <v>413</v>
      </c>
      <c r="I21" s="17">
        <v>0.26400000000000001</v>
      </c>
      <c r="J21" s="17">
        <v>1.716</v>
      </c>
      <c r="K21" s="16">
        <v>273</v>
      </c>
      <c r="L21" s="16">
        <v>255</v>
      </c>
      <c r="M21" s="17">
        <v>0</v>
      </c>
      <c r="N21" s="17">
        <v>1.006</v>
      </c>
    </row>
    <row r="22" spans="1:15" s="3" customFormat="1" ht="27.95" customHeight="1" x14ac:dyDescent="0.25">
      <c r="A22" s="9">
        <v>8</v>
      </c>
      <c r="B22" s="18" t="s">
        <v>14</v>
      </c>
      <c r="C22" s="16">
        <v>3619</v>
      </c>
      <c r="D22" s="16">
        <v>3663</v>
      </c>
      <c r="E22" s="17">
        <v>68.998999999999995</v>
      </c>
      <c r="F22" s="17">
        <v>134.42099999999999</v>
      </c>
      <c r="G22" s="19">
        <v>447</v>
      </c>
      <c r="H22" s="19">
        <v>796</v>
      </c>
      <c r="I22" s="25">
        <v>26.501999999999999</v>
      </c>
      <c r="J22" s="25">
        <v>56.853000000000002</v>
      </c>
      <c r="K22" s="19">
        <v>5</v>
      </c>
      <c r="L22" s="19">
        <v>108</v>
      </c>
      <c r="M22" s="25">
        <v>16.507000000000001</v>
      </c>
      <c r="N22" s="25">
        <v>6.0979999999999999</v>
      </c>
    </row>
    <row r="23" spans="1:15" s="3" customFormat="1" ht="27.95" customHeight="1" x14ac:dyDescent="0.25">
      <c r="A23" s="9">
        <v>9</v>
      </c>
      <c r="B23" s="10" t="s">
        <v>15</v>
      </c>
      <c r="C23" s="16">
        <v>28473</v>
      </c>
      <c r="D23" s="16">
        <v>31232</v>
      </c>
      <c r="E23" s="17">
        <v>581.90099999999995</v>
      </c>
      <c r="F23" s="17">
        <v>1003.6453100000001</v>
      </c>
      <c r="G23" s="16">
        <v>24184</v>
      </c>
      <c r="H23" s="16">
        <v>26984</v>
      </c>
      <c r="I23" s="17">
        <v>823.33243999999991</v>
      </c>
      <c r="J23" s="17">
        <v>1090.9961000000001</v>
      </c>
      <c r="K23" s="16">
        <v>7344</v>
      </c>
      <c r="L23" s="16">
        <v>14502</v>
      </c>
      <c r="M23" s="17">
        <v>661.40534000000014</v>
      </c>
      <c r="N23" s="17">
        <v>396.96710999999999</v>
      </c>
    </row>
    <row r="24" spans="1:15" s="3" customFormat="1" ht="27.75" customHeight="1" x14ac:dyDescent="0.25">
      <c r="A24" s="9">
        <v>10</v>
      </c>
      <c r="B24" s="10" t="s">
        <v>16</v>
      </c>
      <c r="C24" s="16">
        <v>8927</v>
      </c>
      <c r="D24" s="16">
        <v>10750</v>
      </c>
      <c r="E24" s="17">
        <v>16.777000000000001</v>
      </c>
      <c r="F24" s="17">
        <v>352.536</v>
      </c>
      <c r="G24" s="16">
        <v>7772</v>
      </c>
      <c r="H24" s="16">
        <v>8207</v>
      </c>
      <c r="I24" s="17">
        <v>21.108000000000001</v>
      </c>
      <c r="J24" s="17">
        <v>291.48899999999998</v>
      </c>
      <c r="K24" s="16">
        <v>4594</v>
      </c>
      <c r="L24" s="16">
        <v>4521</v>
      </c>
      <c r="M24" s="17">
        <v>16.349</v>
      </c>
      <c r="N24" s="17">
        <v>268.73</v>
      </c>
    </row>
    <row r="25" spans="1:15" s="3" customFormat="1" ht="27.75" customHeight="1" x14ac:dyDescent="0.25">
      <c r="A25" s="9">
        <v>11</v>
      </c>
      <c r="B25" s="10" t="s">
        <v>17</v>
      </c>
      <c r="C25" s="16">
        <v>2481</v>
      </c>
      <c r="D25" s="16">
        <v>3315</v>
      </c>
      <c r="E25" s="17">
        <v>0.73</v>
      </c>
      <c r="F25" s="17">
        <v>14.769</v>
      </c>
      <c r="G25" s="16"/>
      <c r="H25" s="16"/>
      <c r="I25" s="17">
        <v>0</v>
      </c>
      <c r="J25" s="17">
        <v>0</v>
      </c>
      <c r="K25" s="16"/>
      <c r="L25" s="16"/>
      <c r="M25" s="17">
        <v>0</v>
      </c>
      <c r="N25" s="17">
        <v>0</v>
      </c>
    </row>
    <row r="26" spans="1:15" s="3" customFormat="1" ht="27.75" customHeight="1" x14ac:dyDescent="0.25">
      <c r="A26" s="9">
        <v>12</v>
      </c>
      <c r="B26" s="13" t="s">
        <v>18</v>
      </c>
      <c r="C26" s="19">
        <v>4213</v>
      </c>
      <c r="D26" s="19">
        <v>4826</v>
      </c>
      <c r="E26" s="17">
        <v>436.45609999999999</v>
      </c>
      <c r="F26" s="17">
        <v>353.779</v>
      </c>
      <c r="G26" s="16">
        <v>3047</v>
      </c>
      <c r="H26" s="16">
        <v>3998</v>
      </c>
      <c r="I26" s="17">
        <v>295.15429999999998</v>
      </c>
      <c r="J26" s="17">
        <v>445.80349999999999</v>
      </c>
      <c r="K26" s="16">
        <v>510</v>
      </c>
      <c r="L26" s="16">
        <v>2249</v>
      </c>
      <c r="M26" s="17">
        <v>218.83109999999999</v>
      </c>
      <c r="N26" s="17">
        <v>321.05359999999996</v>
      </c>
    </row>
    <row r="27" spans="1:15" s="3" customFormat="1" ht="27.75" customHeight="1" x14ac:dyDescent="0.25">
      <c r="A27" s="9">
        <v>13</v>
      </c>
      <c r="B27" s="10" t="s">
        <v>19</v>
      </c>
      <c r="C27" s="16">
        <v>1820</v>
      </c>
      <c r="D27" s="16">
        <v>1340</v>
      </c>
      <c r="E27" s="17">
        <v>5.7089999999999996</v>
      </c>
      <c r="F27" s="17">
        <v>27.666</v>
      </c>
      <c r="G27" s="16">
        <v>1407</v>
      </c>
      <c r="H27" s="16">
        <v>1560</v>
      </c>
      <c r="I27" s="17">
        <v>0.70499999999999996</v>
      </c>
      <c r="J27" s="17">
        <v>27.393000000000001</v>
      </c>
      <c r="K27" s="16">
        <v>1407</v>
      </c>
      <c r="L27" s="16">
        <v>1560</v>
      </c>
      <c r="M27" s="17">
        <v>0</v>
      </c>
      <c r="N27" s="17">
        <v>35.223999999999997</v>
      </c>
    </row>
    <row r="28" spans="1:15" s="3" customFormat="1" ht="27.75" customHeight="1" x14ac:dyDescent="0.25">
      <c r="A28" s="9">
        <v>14</v>
      </c>
      <c r="B28" s="10" t="s">
        <v>20</v>
      </c>
      <c r="C28" s="16">
        <v>3157</v>
      </c>
      <c r="D28" s="16">
        <v>2566</v>
      </c>
      <c r="E28" s="17">
        <v>13.391999999999999</v>
      </c>
      <c r="F28" s="17">
        <v>56.597000000000001</v>
      </c>
      <c r="G28" s="16">
        <v>1537</v>
      </c>
      <c r="H28" s="16">
        <v>2079</v>
      </c>
      <c r="I28" s="17">
        <v>58.168999999999997</v>
      </c>
      <c r="J28" s="17">
        <v>25.106000000000002</v>
      </c>
      <c r="K28" s="16">
        <v>448</v>
      </c>
      <c r="L28" s="16">
        <v>123</v>
      </c>
      <c r="M28" s="17">
        <v>3.4169999999999998</v>
      </c>
      <c r="N28" s="17">
        <v>25.096</v>
      </c>
    </row>
    <row r="29" spans="1:15" s="3" customFormat="1" ht="27.75" customHeight="1" x14ac:dyDescent="0.25">
      <c r="A29" s="9">
        <v>15</v>
      </c>
      <c r="B29" s="10" t="s">
        <v>84</v>
      </c>
      <c r="C29" s="16">
        <v>4484</v>
      </c>
      <c r="D29" s="16">
        <v>4603</v>
      </c>
      <c r="E29" s="17">
        <v>0.36</v>
      </c>
      <c r="F29" s="17">
        <v>11.271000000000001</v>
      </c>
      <c r="G29" s="16">
        <v>3098</v>
      </c>
      <c r="H29" s="16">
        <v>3898</v>
      </c>
      <c r="I29" s="17">
        <v>0.51400000000000001</v>
      </c>
      <c r="J29" s="17">
        <v>12.59</v>
      </c>
      <c r="K29" s="16">
        <v>1118</v>
      </c>
      <c r="L29" s="16">
        <v>914</v>
      </c>
      <c r="M29" s="17">
        <v>9.2509999999999994</v>
      </c>
      <c r="N29" s="17">
        <v>0.125</v>
      </c>
    </row>
    <row r="30" spans="1:15" s="3" customFormat="1" ht="27.75" customHeight="1" x14ac:dyDescent="0.25">
      <c r="A30" s="9">
        <v>16</v>
      </c>
      <c r="B30" s="10" t="s">
        <v>21</v>
      </c>
      <c r="C30" s="16">
        <v>1553</v>
      </c>
      <c r="D30" s="16">
        <v>1171</v>
      </c>
      <c r="E30" s="17">
        <v>0</v>
      </c>
      <c r="F30" s="17">
        <v>7.5999999999999998E-2</v>
      </c>
      <c r="G30" s="16">
        <v>1164</v>
      </c>
      <c r="H30" s="16">
        <v>1323</v>
      </c>
      <c r="I30" s="17">
        <v>0</v>
      </c>
      <c r="J30" s="17">
        <v>1.198</v>
      </c>
      <c r="K30" s="16">
        <v>510</v>
      </c>
      <c r="L30" s="16">
        <v>375</v>
      </c>
      <c r="M30" s="17">
        <v>0</v>
      </c>
      <c r="N30" s="17">
        <v>0</v>
      </c>
    </row>
    <row r="31" spans="1:15" s="3" customFormat="1" ht="27.75" customHeight="1" x14ac:dyDescent="0.25">
      <c r="A31" s="9">
        <v>17</v>
      </c>
      <c r="B31" s="10" t="s">
        <v>22</v>
      </c>
      <c r="C31" s="16">
        <v>12664</v>
      </c>
      <c r="D31" s="16">
        <v>14652</v>
      </c>
      <c r="E31" s="17">
        <v>21.686</v>
      </c>
      <c r="F31" s="17">
        <v>215.994</v>
      </c>
      <c r="G31" s="16">
        <v>3575</v>
      </c>
      <c r="H31" s="16">
        <v>4787</v>
      </c>
      <c r="I31" s="17">
        <v>6.9000000000000006E-2</v>
      </c>
      <c r="J31" s="17">
        <v>79.774000000000001</v>
      </c>
      <c r="K31" s="16">
        <v>454</v>
      </c>
      <c r="L31" s="16">
        <v>539</v>
      </c>
      <c r="M31" s="17">
        <v>0.45900000000000002</v>
      </c>
      <c r="N31" s="17">
        <v>10.039</v>
      </c>
    </row>
    <row r="32" spans="1:15" s="3" customFormat="1" ht="27.75" customHeight="1" x14ac:dyDescent="0.25">
      <c r="A32" s="9">
        <v>18</v>
      </c>
      <c r="B32" s="10" t="s">
        <v>23</v>
      </c>
      <c r="C32" s="16">
        <v>39636</v>
      </c>
      <c r="D32" s="16">
        <v>51422</v>
      </c>
      <c r="E32" s="17">
        <v>1275.52</v>
      </c>
      <c r="F32" s="17">
        <v>1948.86</v>
      </c>
      <c r="G32" s="16">
        <v>40320</v>
      </c>
      <c r="H32" s="16">
        <v>44637</v>
      </c>
      <c r="I32" s="17">
        <v>1679.85</v>
      </c>
      <c r="J32" s="17">
        <v>2719.92</v>
      </c>
      <c r="K32" s="19">
        <v>16432</v>
      </c>
      <c r="L32" s="19">
        <v>30011</v>
      </c>
      <c r="M32" s="25">
        <v>1059.23</v>
      </c>
      <c r="N32" s="25">
        <v>2238.58</v>
      </c>
    </row>
    <row r="33" spans="1:14" s="3" customFormat="1" ht="27.75" customHeight="1" x14ac:dyDescent="0.25">
      <c r="A33" s="9">
        <v>19</v>
      </c>
      <c r="B33" s="10" t="s">
        <v>79</v>
      </c>
      <c r="C33" s="16">
        <v>362</v>
      </c>
      <c r="D33" s="16">
        <v>368</v>
      </c>
      <c r="E33" s="17">
        <v>0</v>
      </c>
      <c r="F33" s="17">
        <v>0</v>
      </c>
      <c r="G33" s="16">
        <v>243</v>
      </c>
      <c r="H33" s="16">
        <v>292</v>
      </c>
      <c r="I33" s="17">
        <v>0</v>
      </c>
      <c r="J33" s="17">
        <v>0</v>
      </c>
      <c r="K33" s="16">
        <v>143</v>
      </c>
      <c r="L33" s="16">
        <v>122</v>
      </c>
      <c r="M33" s="17">
        <v>0</v>
      </c>
      <c r="N33" s="17">
        <v>0</v>
      </c>
    </row>
    <row r="34" spans="1:14" s="3" customFormat="1" ht="27.75" customHeight="1" x14ac:dyDescent="0.25">
      <c r="A34" s="9">
        <v>20</v>
      </c>
      <c r="B34" s="10" t="s">
        <v>24</v>
      </c>
      <c r="C34" s="16">
        <v>42888</v>
      </c>
      <c r="D34" s="16">
        <v>43671</v>
      </c>
      <c r="E34" s="17">
        <v>6554.3227800000004</v>
      </c>
      <c r="F34" s="17">
        <v>3558.6561000000002</v>
      </c>
      <c r="G34" s="19">
        <v>12402</v>
      </c>
      <c r="H34" s="19">
        <v>22318</v>
      </c>
      <c r="I34" s="17">
        <v>5001.4327000000003</v>
      </c>
      <c r="J34" s="17">
        <v>5131.2434999999996</v>
      </c>
      <c r="K34" s="16">
        <v>170</v>
      </c>
      <c r="L34" s="16">
        <v>683</v>
      </c>
      <c r="M34" s="17">
        <v>195.70260000000002</v>
      </c>
      <c r="N34" s="17">
        <v>220.94739999999999</v>
      </c>
    </row>
    <row r="35" spans="1:14" s="3" customFormat="1" ht="27.75" customHeight="1" x14ac:dyDescent="0.25">
      <c r="A35" s="9">
        <v>21</v>
      </c>
      <c r="B35" s="10" t="s">
        <v>25</v>
      </c>
      <c r="C35" s="16">
        <v>3464</v>
      </c>
      <c r="D35" s="16">
        <v>2976</v>
      </c>
      <c r="E35" s="17">
        <v>700.63300000000004</v>
      </c>
      <c r="F35" s="17">
        <v>614.99800000000005</v>
      </c>
      <c r="G35" s="19">
        <v>2475</v>
      </c>
      <c r="H35" s="19">
        <v>2976</v>
      </c>
      <c r="I35" s="17">
        <v>408.66199999999998</v>
      </c>
      <c r="J35" s="17">
        <v>646.16200000000003</v>
      </c>
      <c r="K35" s="16">
        <v>918</v>
      </c>
      <c r="L35" s="16">
        <v>2392</v>
      </c>
      <c r="M35" s="17">
        <v>251.08</v>
      </c>
      <c r="N35" s="17">
        <v>291.50799999999998</v>
      </c>
    </row>
    <row r="36" spans="1:14" s="3" customFormat="1" ht="27.75" customHeight="1" x14ac:dyDescent="0.25">
      <c r="A36" s="9">
        <v>22</v>
      </c>
      <c r="B36" s="18" t="s">
        <v>26</v>
      </c>
      <c r="C36" s="16">
        <v>11894</v>
      </c>
      <c r="D36" s="16">
        <v>10352</v>
      </c>
      <c r="E36" s="17">
        <v>244.464</v>
      </c>
      <c r="F36" s="17">
        <v>39.9116</v>
      </c>
      <c r="G36" s="16">
        <v>1081</v>
      </c>
      <c r="H36" s="16">
        <v>1790</v>
      </c>
      <c r="I36" s="17">
        <v>40.984000000000002</v>
      </c>
      <c r="J36" s="17">
        <v>7.7869999999999999</v>
      </c>
      <c r="K36" s="16"/>
      <c r="L36" s="16"/>
      <c r="M36" s="17">
        <v>0</v>
      </c>
      <c r="N36" s="17">
        <v>0</v>
      </c>
    </row>
    <row r="37" spans="1:14" s="3" customFormat="1" ht="27.95" customHeight="1" x14ac:dyDescent="0.25">
      <c r="A37" s="9">
        <v>23</v>
      </c>
      <c r="B37" s="10" t="s">
        <v>27</v>
      </c>
      <c r="C37" s="16">
        <v>14394</v>
      </c>
      <c r="D37" s="16">
        <v>11936</v>
      </c>
      <c r="E37" s="17">
        <v>567.89400000000001</v>
      </c>
      <c r="F37" s="17">
        <v>115.34283000000001</v>
      </c>
      <c r="G37" s="16">
        <v>1127</v>
      </c>
      <c r="H37" s="16">
        <v>870</v>
      </c>
      <c r="I37" s="17">
        <v>30.605</v>
      </c>
      <c r="J37" s="17">
        <v>9.9670000000000005</v>
      </c>
      <c r="K37" s="16"/>
      <c r="L37" s="16"/>
      <c r="M37" s="17">
        <v>0</v>
      </c>
      <c r="N37" s="17">
        <v>0</v>
      </c>
    </row>
    <row r="38" spans="1:14" s="3" customFormat="1" ht="27.95" customHeight="1" x14ac:dyDescent="0.25">
      <c r="A38" s="9">
        <v>24</v>
      </c>
      <c r="B38" s="10" t="s">
        <v>28</v>
      </c>
      <c r="C38" s="16">
        <v>9447</v>
      </c>
      <c r="D38" s="16">
        <v>10880</v>
      </c>
      <c r="E38" s="17">
        <v>187.857</v>
      </c>
      <c r="F38" s="17">
        <v>229.024</v>
      </c>
      <c r="G38" s="16">
        <v>1968</v>
      </c>
      <c r="H38" s="16">
        <v>3318</v>
      </c>
      <c r="I38" s="17">
        <v>137.53800000000001</v>
      </c>
      <c r="J38" s="17">
        <v>272.44600000000003</v>
      </c>
      <c r="K38" s="16">
        <v>57</v>
      </c>
      <c r="L38" s="16">
        <v>0</v>
      </c>
      <c r="M38" s="17">
        <v>1.4750000000000001</v>
      </c>
      <c r="N38" s="17">
        <v>0</v>
      </c>
    </row>
    <row r="39" spans="1:14" s="3" customFormat="1" ht="27.95" customHeight="1" x14ac:dyDescent="0.25">
      <c r="A39" s="9">
        <v>25</v>
      </c>
      <c r="B39" s="13" t="s">
        <v>29</v>
      </c>
      <c r="C39" s="16">
        <v>662</v>
      </c>
      <c r="D39" s="16">
        <v>563</v>
      </c>
      <c r="E39" s="17">
        <v>0.41305999999999998</v>
      </c>
      <c r="F39" s="17">
        <v>0</v>
      </c>
      <c r="G39" s="19">
        <v>847</v>
      </c>
      <c r="H39" s="19">
        <v>958</v>
      </c>
      <c r="I39" s="17">
        <v>0</v>
      </c>
      <c r="J39" s="17">
        <v>0.32422000000000001</v>
      </c>
      <c r="K39" s="16">
        <v>570</v>
      </c>
      <c r="L39" s="16">
        <v>640</v>
      </c>
      <c r="M39" s="17">
        <v>0.57145000000000001</v>
      </c>
      <c r="N39" s="17">
        <v>0</v>
      </c>
    </row>
    <row r="40" spans="1:14" s="3" customFormat="1" ht="27.95" customHeight="1" x14ac:dyDescent="0.25">
      <c r="A40" s="9">
        <v>26</v>
      </c>
      <c r="B40" s="18" t="s">
        <v>30</v>
      </c>
      <c r="C40" s="16">
        <v>2818</v>
      </c>
      <c r="D40" s="16">
        <v>3979</v>
      </c>
      <c r="E40" s="17">
        <v>0</v>
      </c>
      <c r="F40" s="17">
        <v>0</v>
      </c>
      <c r="G40" s="16">
        <v>1829</v>
      </c>
      <c r="H40" s="16">
        <v>2789</v>
      </c>
      <c r="I40" s="17">
        <v>0</v>
      </c>
      <c r="J40" s="17">
        <v>0</v>
      </c>
      <c r="K40" s="16"/>
      <c r="L40" s="16"/>
      <c r="M40" s="17">
        <v>0</v>
      </c>
      <c r="N40" s="17">
        <v>0</v>
      </c>
    </row>
    <row r="41" spans="1:14" s="3" customFormat="1" ht="27.95" customHeight="1" x14ac:dyDescent="0.25">
      <c r="A41" s="9">
        <v>27</v>
      </c>
      <c r="B41" s="10" t="s">
        <v>31</v>
      </c>
      <c r="C41" s="16">
        <v>2459</v>
      </c>
      <c r="D41" s="16">
        <v>2722</v>
      </c>
      <c r="E41" s="17">
        <v>99.313999999999993</v>
      </c>
      <c r="F41" s="17">
        <v>108.23</v>
      </c>
      <c r="G41" s="16"/>
      <c r="H41" s="16"/>
      <c r="I41" s="17">
        <v>0</v>
      </c>
      <c r="J41" s="17">
        <v>0</v>
      </c>
      <c r="K41" s="16"/>
      <c r="L41" s="16"/>
      <c r="M41" s="17">
        <v>0</v>
      </c>
      <c r="N41" s="17">
        <v>0</v>
      </c>
    </row>
    <row r="42" spans="1:14" s="3" customFormat="1" ht="27.95" customHeight="1" x14ac:dyDescent="0.25">
      <c r="A42" s="9">
        <v>28</v>
      </c>
      <c r="B42" s="10" t="s">
        <v>32</v>
      </c>
      <c r="C42" s="16">
        <v>251814</v>
      </c>
      <c r="D42" s="16">
        <v>264076</v>
      </c>
      <c r="E42" s="17">
        <v>4106.1329999999998</v>
      </c>
      <c r="F42" s="17">
        <v>11875.34</v>
      </c>
      <c r="G42" s="16">
        <v>217691</v>
      </c>
      <c r="H42" s="16">
        <v>242664</v>
      </c>
      <c r="I42" s="17">
        <v>4574.1019999999999</v>
      </c>
      <c r="J42" s="17">
        <v>12509.208000000001</v>
      </c>
      <c r="K42" s="16"/>
      <c r="L42" s="16"/>
      <c r="M42" s="17">
        <v>0</v>
      </c>
      <c r="N42" s="17">
        <v>0</v>
      </c>
    </row>
    <row r="43" spans="1:14" s="3" customFormat="1" ht="27.95" customHeight="1" x14ac:dyDescent="0.25">
      <c r="A43" s="9">
        <v>29</v>
      </c>
      <c r="B43" s="10" t="s">
        <v>33</v>
      </c>
      <c r="C43" s="16">
        <v>6941</v>
      </c>
      <c r="D43" s="16">
        <v>11181</v>
      </c>
      <c r="E43" s="17">
        <v>15.487</v>
      </c>
      <c r="F43" s="17">
        <v>108.488</v>
      </c>
      <c r="G43" s="16">
        <v>7288</v>
      </c>
      <c r="H43" s="16">
        <v>8593</v>
      </c>
      <c r="I43" s="17">
        <v>15.907</v>
      </c>
      <c r="J43" s="17">
        <v>136.49199999999999</v>
      </c>
      <c r="K43" s="16">
        <v>7742</v>
      </c>
      <c r="L43" s="16">
        <v>10252</v>
      </c>
      <c r="M43" s="25">
        <v>15.682</v>
      </c>
      <c r="N43" s="25">
        <v>154.52600000000001</v>
      </c>
    </row>
    <row r="44" spans="1:14" s="3" customFormat="1" ht="27.95" customHeight="1" x14ac:dyDescent="0.25">
      <c r="A44" s="9">
        <v>30</v>
      </c>
      <c r="B44" s="10" t="s">
        <v>34</v>
      </c>
      <c r="C44" s="16">
        <v>109159</v>
      </c>
      <c r="D44" s="16">
        <v>130481</v>
      </c>
      <c r="E44" s="17">
        <v>1000.9744000000001</v>
      </c>
      <c r="F44" s="17">
        <v>1949.6405</v>
      </c>
      <c r="G44" s="16">
        <v>94994</v>
      </c>
      <c r="H44" s="16">
        <v>115614</v>
      </c>
      <c r="I44" s="17">
        <v>1050.9490000000001</v>
      </c>
      <c r="J44" s="17">
        <v>1853.7449999999999</v>
      </c>
      <c r="K44" s="16">
        <v>46779</v>
      </c>
      <c r="L44" s="16">
        <v>63320</v>
      </c>
      <c r="M44" s="17">
        <v>983.74019999999996</v>
      </c>
      <c r="N44" s="17">
        <v>1991.3738000000001</v>
      </c>
    </row>
    <row r="45" spans="1:14" s="3" customFormat="1" ht="27.95" customHeight="1" x14ac:dyDescent="0.25">
      <c r="A45" s="9">
        <v>31</v>
      </c>
      <c r="B45" s="10" t="s">
        <v>35</v>
      </c>
      <c r="C45" s="16">
        <v>0</v>
      </c>
      <c r="D45" s="16">
        <v>0</v>
      </c>
      <c r="E45" s="17">
        <v>1168.47</v>
      </c>
      <c r="F45" s="17">
        <v>2611.8029999999999</v>
      </c>
      <c r="G45" s="16">
        <v>0</v>
      </c>
      <c r="H45" s="16">
        <v>0</v>
      </c>
      <c r="I45" s="17">
        <v>657.41300000000001</v>
      </c>
      <c r="J45" s="17">
        <v>3385.4189999999999</v>
      </c>
      <c r="K45" s="16">
        <v>0</v>
      </c>
      <c r="L45" s="16">
        <v>0</v>
      </c>
      <c r="M45" s="17">
        <v>1191.739</v>
      </c>
      <c r="N45" s="17">
        <v>2583.2240000000002</v>
      </c>
    </row>
    <row r="46" spans="1:14" s="3" customFormat="1" ht="27.95" customHeight="1" x14ac:dyDescent="0.25">
      <c r="A46" s="9">
        <v>32</v>
      </c>
      <c r="B46" s="10" t="s">
        <v>36</v>
      </c>
      <c r="C46" s="16">
        <v>7263</v>
      </c>
      <c r="D46" s="16">
        <v>7647</v>
      </c>
      <c r="E46" s="17">
        <v>127.88</v>
      </c>
      <c r="F46" s="17">
        <v>313.95100000000002</v>
      </c>
      <c r="G46" s="16">
        <v>6820</v>
      </c>
      <c r="H46" s="16">
        <v>6724</v>
      </c>
      <c r="I46" s="17">
        <v>318.024</v>
      </c>
      <c r="J46" s="17">
        <v>230.05099999999999</v>
      </c>
      <c r="K46" s="16"/>
      <c r="L46" s="16"/>
      <c r="M46" s="17">
        <v>0</v>
      </c>
      <c r="N46" s="17">
        <v>0</v>
      </c>
    </row>
    <row r="47" spans="1:14" s="3" customFormat="1" ht="27.95" customHeight="1" x14ac:dyDescent="0.25">
      <c r="A47" s="9">
        <v>33</v>
      </c>
      <c r="B47" s="10" t="s">
        <v>37</v>
      </c>
      <c r="C47" s="16">
        <v>22019</v>
      </c>
      <c r="D47" s="16">
        <v>22860</v>
      </c>
      <c r="E47" s="17">
        <v>10.928000000000001</v>
      </c>
      <c r="F47" s="17">
        <v>178.98599999999999</v>
      </c>
      <c r="G47" s="16">
        <v>19061</v>
      </c>
      <c r="H47" s="16">
        <v>20823</v>
      </c>
      <c r="I47" s="17">
        <v>13.089</v>
      </c>
      <c r="J47" s="17">
        <v>166.40899999999999</v>
      </c>
      <c r="K47" s="16">
        <v>8383</v>
      </c>
      <c r="L47" s="16">
        <v>9293</v>
      </c>
      <c r="M47" s="17">
        <v>9.0120000000000005</v>
      </c>
      <c r="N47" s="17">
        <v>131.02699999999999</v>
      </c>
    </row>
    <row r="48" spans="1:14" s="3" customFormat="1" ht="27.95" customHeight="1" x14ac:dyDescent="0.25">
      <c r="A48" s="9">
        <v>34</v>
      </c>
      <c r="B48" s="10" t="s">
        <v>91</v>
      </c>
      <c r="C48" s="16">
        <v>7419</v>
      </c>
      <c r="D48" s="16">
        <v>10079</v>
      </c>
      <c r="E48" s="17">
        <v>8.1809999999999992</v>
      </c>
      <c r="F48" s="17">
        <v>68.674000000000007</v>
      </c>
      <c r="G48" s="16">
        <v>5418</v>
      </c>
      <c r="H48" s="16">
        <v>8570</v>
      </c>
      <c r="I48" s="17">
        <v>9.0470000000000006</v>
      </c>
      <c r="J48" s="17">
        <v>79.665999999999997</v>
      </c>
      <c r="K48" s="16">
        <v>3655</v>
      </c>
      <c r="L48" s="16">
        <v>5062</v>
      </c>
      <c r="M48" s="17">
        <v>4.8360000000000003</v>
      </c>
      <c r="N48" s="17">
        <v>42.484000000000002</v>
      </c>
    </row>
    <row r="49" spans="1:14" s="3" customFormat="1" ht="27.95" customHeight="1" x14ac:dyDescent="0.25">
      <c r="A49" s="9">
        <v>35</v>
      </c>
      <c r="B49" s="10" t="s">
        <v>38</v>
      </c>
      <c r="C49" s="16">
        <v>47370</v>
      </c>
      <c r="D49" s="16">
        <v>47953</v>
      </c>
      <c r="E49" s="17">
        <v>20.187000000000001</v>
      </c>
      <c r="F49" s="17">
        <v>607.56200000000001</v>
      </c>
      <c r="G49" s="16">
        <v>41797</v>
      </c>
      <c r="H49" s="16">
        <v>44148</v>
      </c>
      <c r="I49" s="17">
        <v>40.655999999999999</v>
      </c>
      <c r="J49" s="17">
        <v>648.58399999999995</v>
      </c>
      <c r="K49" s="16">
        <v>21289</v>
      </c>
      <c r="L49" s="16">
        <v>20540</v>
      </c>
      <c r="M49" s="17">
        <v>31.613</v>
      </c>
      <c r="N49" s="17">
        <v>545.11400000000003</v>
      </c>
    </row>
    <row r="50" spans="1:14" s="3" customFormat="1" ht="27.95" customHeight="1" x14ac:dyDescent="0.25">
      <c r="A50" s="9">
        <v>36</v>
      </c>
      <c r="B50" s="10" t="s">
        <v>39</v>
      </c>
      <c r="C50" s="16">
        <v>1802</v>
      </c>
      <c r="D50" s="16">
        <v>1255</v>
      </c>
      <c r="E50" s="17">
        <v>3.7850000000000001</v>
      </c>
      <c r="F50" s="17">
        <v>54.045000000000002</v>
      </c>
      <c r="G50" s="16">
        <v>1103</v>
      </c>
      <c r="H50" s="16">
        <v>1147</v>
      </c>
      <c r="I50" s="17">
        <v>5.3529999999999998</v>
      </c>
      <c r="J50" s="17">
        <v>14.105</v>
      </c>
      <c r="K50" s="16">
        <v>42</v>
      </c>
      <c r="L50" s="16">
        <v>72</v>
      </c>
      <c r="M50" s="17">
        <v>0.09</v>
      </c>
      <c r="N50" s="17">
        <v>9.859</v>
      </c>
    </row>
    <row r="51" spans="1:14" s="3" customFormat="1" ht="27.95" customHeight="1" x14ac:dyDescent="0.25">
      <c r="A51" s="9">
        <v>37</v>
      </c>
      <c r="B51" s="10" t="s">
        <v>40</v>
      </c>
      <c r="C51" s="16">
        <v>2775</v>
      </c>
      <c r="D51" s="16">
        <v>2829</v>
      </c>
      <c r="E51" s="17">
        <v>0</v>
      </c>
      <c r="F51" s="17">
        <v>0</v>
      </c>
      <c r="G51" s="16">
        <v>3014</v>
      </c>
      <c r="H51" s="16">
        <v>2893</v>
      </c>
      <c r="I51" s="17">
        <v>0</v>
      </c>
      <c r="J51" s="17">
        <v>0</v>
      </c>
      <c r="K51" s="16"/>
      <c r="L51" s="16"/>
      <c r="M51" s="17">
        <v>0</v>
      </c>
      <c r="N51" s="17">
        <v>0</v>
      </c>
    </row>
    <row r="52" spans="1:14" s="3" customFormat="1" ht="27.95" customHeight="1" x14ac:dyDescent="0.25">
      <c r="A52" s="9">
        <v>38</v>
      </c>
      <c r="B52" s="10" t="s">
        <v>41</v>
      </c>
      <c r="C52" s="16">
        <v>4256</v>
      </c>
      <c r="D52" s="16">
        <v>5948</v>
      </c>
      <c r="E52" s="17">
        <v>14.177</v>
      </c>
      <c r="F52" s="17">
        <v>55.704000000000001</v>
      </c>
      <c r="G52" s="16">
        <v>2830</v>
      </c>
      <c r="H52" s="16">
        <v>2884</v>
      </c>
      <c r="I52" s="17">
        <v>11.629</v>
      </c>
      <c r="J52" s="17">
        <v>64.055999999999997</v>
      </c>
      <c r="K52" s="16">
        <v>3059</v>
      </c>
      <c r="L52" s="16">
        <v>3227</v>
      </c>
      <c r="M52" s="17">
        <v>11.269</v>
      </c>
      <c r="N52" s="17">
        <v>38.302999999999997</v>
      </c>
    </row>
    <row r="53" spans="1:14" s="3" customFormat="1" ht="27.95" customHeight="1" x14ac:dyDescent="0.25">
      <c r="A53" s="9">
        <v>39</v>
      </c>
      <c r="B53" s="10" t="s">
        <v>42</v>
      </c>
      <c r="C53" s="16">
        <v>5340</v>
      </c>
      <c r="D53" s="16">
        <v>5454</v>
      </c>
      <c r="E53" s="17">
        <v>480.28199999999998</v>
      </c>
      <c r="F53" s="17">
        <v>256.63</v>
      </c>
      <c r="G53" s="16">
        <v>4686</v>
      </c>
      <c r="H53" s="16">
        <v>5150</v>
      </c>
      <c r="I53" s="17">
        <v>395.35500000000002</v>
      </c>
      <c r="J53" s="17">
        <v>351.42899999999997</v>
      </c>
      <c r="K53" s="16">
        <v>561</v>
      </c>
      <c r="L53" s="16">
        <v>3653</v>
      </c>
      <c r="M53" s="17">
        <v>285.714</v>
      </c>
      <c r="N53" s="17">
        <v>314.887</v>
      </c>
    </row>
    <row r="54" spans="1:14" s="3" customFormat="1" ht="27.95" customHeight="1" x14ac:dyDescent="0.25">
      <c r="A54" s="9">
        <v>40</v>
      </c>
      <c r="B54" s="18" t="s">
        <v>43</v>
      </c>
      <c r="C54" s="16">
        <v>0</v>
      </c>
      <c r="D54" s="16">
        <v>0</v>
      </c>
      <c r="E54" s="17">
        <v>1774.5350000000001</v>
      </c>
      <c r="F54" s="17">
        <v>920.923</v>
      </c>
      <c r="G54" s="16">
        <v>0</v>
      </c>
      <c r="H54" s="16">
        <v>0</v>
      </c>
      <c r="I54" s="17">
        <v>1307.557</v>
      </c>
      <c r="J54" s="17">
        <v>1172.8209999999999</v>
      </c>
      <c r="K54" s="16">
        <v>0</v>
      </c>
      <c r="L54" s="16">
        <v>0</v>
      </c>
      <c r="M54" s="17">
        <v>1278.875</v>
      </c>
      <c r="N54" s="17">
        <v>1241.797</v>
      </c>
    </row>
    <row r="55" spans="1:14" s="24" customFormat="1" ht="27.95" customHeight="1" x14ac:dyDescent="0.25">
      <c r="A55" s="9">
        <v>41</v>
      </c>
      <c r="B55" s="21" t="s">
        <v>44</v>
      </c>
      <c r="C55" s="22">
        <v>4239</v>
      </c>
      <c r="D55" s="22">
        <v>5942</v>
      </c>
      <c r="E55" s="23">
        <v>0</v>
      </c>
      <c r="F55" s="23">
        <v>162.50299999999999</v>
      </c>
      <c r="G55" s="22">
        <v>3970</v>
      </c>
      <c r="H55" s="22">
        <v>6294</v>
      </c>
      <c r="I55" s="23">
        <v>0</v>
      </c>
      <c r="J55" s="23">
        <v>206.39</v>
      </c>
      <c r="K55" s="22"/>
      <c r="L55" s="22"/>
      <c r="M55" s="23">
        <v>0</v>
      </c>
      <c r="N55" s="23">
        <v>0</v>
      </c>
    </row>
    <row r="56" spans="1:14" s="3" customFormat="1" ht="27.95" customHeight="1" x14ac:dyDescent="0.25">
      <c r="A56" s="9">
        <v>42</v>
      </c>
      <c r="B56" s="10" t="s">
        <v>45</v>
      </c>
      <c r="C56" s="16">
        <v>8467</v>
      </c>
      <c r="D56" s="16">
        <v>7812</v>
      </c>
      <c r="E56" s="17">
        <v>21.581</v>
      </c>
      <c r="F56" s="17">
        <v>20.402000000000001</v>
      </c>
      <c r="G56" s="16">
        <v>7743</v>
      </c>
      <c r="H56" s="16">
        <v>6989</v>
      </c>
      <c r="I56" s="17">
        <v>4.8780000000000001</v>
      </c>
      <c r="J56" s="17">
        <v>2.327</v>
      </c>
      <c r="K56" s="16"/>
      <c r="L56" s="16"/>
      <c r="M56" s="17">
        <v>0</v>
      </c>
      <c r="N56" s="17">
        <v>0</v>
      </c>
    </row>
    <row r="57" spans="1:14" s="3" customFormat="1" ht="27.95" customHeight="1" x14ac:dyDescent="0.25">
      <c r="A57" s="9">
        <v>43</v>
      </c>
      <c r="B57" s="10" t="s">
        <v>46</v>
      </c>
      <c r="C57" s="16">
        <v>23374</v>
      </c>
      <c r="D57" s="16">
        <v>23717</v>
      </c>
      <c r="E57" s="17">
        <v>343.78757999999993</v>
      </c>
      <c r="F57" s="17">
        <v>511.02928000000003</v>
      </c>
      <c r="G57" s="16">
        <v>20698</v>
      </c>
      <c r="H57" s="16">
        <v>22251</v>
      </c>
      <c r="I57" s="17">
        <v>383.30444</v>
      </c>
      <c r="J57" s="17">
        <v>542.33510000000001</v>
      </c>
      <c r="K57" s="16"/>
      <c r="L57" s="16"/>
      <c r="M57" s="17">
        <v>0</v>
      </c>
      <c r="N57" s="17">
        <v>0</v>
      </c>
    </row>
    <row r="58" spans="1:14" s="3" customFormat="1" ht="27.95" customHeight="1" x14ac:dyDescent="0.25">
      <c r="A58" s="9">
        <v>44</v>
      </c>
      <c r="B58" s="10" t="s">
        <v>47</v>
      </c>
      <c r="C58" s="16">
        <v>8383</v>
      </c>
      <c r="D58" s="16">
        <v>9498</v>
      </c>
      <c r="E58" s="17">
        <v>266.17399999999998</v>
      </c>
      <c r="F58" s="17">
        <v>162.00720000000001</v>
      </c>
      <c r="G58" s="16">
        <v>6016</v>
      </c>
      <c r="H58" s="16">
        <v>8208</v>
      </c>
      <c r="I58" s="17">
        <v>224.1489</v>
      </c>
      <c r="J58" s="17">
        <v>345.73740000000004</v>
      </c>
      <c r="K58" s="16">
        <v>253</v>
      </c>
      <c r="L58" s="16">
        <v>536</v>
      </c>
      <c r="M58" s="17">
        <v>31.367999999999999</v>
      </c>
      <c r="N58" s="17">
        <v>33.387999999999998</v>
      </c>
    </row>
    <row r="59" spans="1:14" s="26" customFormat="1" ht="27.95" customHeight="1" x14ac:dyDescent="0.25">
      <c r="A59" s="9">
        <v>45</v>
      </c>
      <c r="B59" s="13" t="s">
        <v>48</v>
      </c>
      <c r="C59" s="19">
        <v>29427</v>
      </c>
      <c r="D59" s="19">
        <v>29089</v>
      </c>
      <c r="E59" s="25">
        <v>200.86600000000001</v>
      </c>
      <c r="F59" s="25">
        <v>787.81910000000005</v>
      </c>
      <c r="G59" s="19">
        <v>24895</v>
      </c>
      <c r="H59" s="19">
        <v>25414</v>
      </c>
      <c r="I59" s="25">
        <v>122.596</v>
      </c>
      <c r="J59" s="25">
        <v>738.87900000000002</v>
      </c>
      <c r="K59" s="19">
        <v>26398</v>
      </c>
      <c r="L59" s="19">
        <v>29600</v>
      </c>
      <c r="M59" s="25">
        <v>330.721</v>
      </c>
      <c r="N59" s="25">
        <v>1641.0709999999999</v>
      </c>
    </row>
    <row r="60" spans="1:14" s="3" customFormat="1" ht="27.95" customHeight="1" x14ac:dyDescent="0.25">
      <c r="A60" s="9">
        <v>46</v>
      </c>
      <c r="B60" s="10" t="s">
        <v>49</v>
      </c>
      <c r="C60" s="16">
        <v>52858</v>
      </c>
      <c r="D60" s="16">
        <v>57528</v>
      </c>
      <c r="E60" s="17">
        <v>2602.681</v>
      </c>
      <c r="F60" s="17">
        <v>2741.9319999999998</v>
      </c>
      <c r="G60" s="16">
        <v>48279</v>
      </c>
      <c r="H60" s="16">
        <v>55082</v>
      </c>
      <c r="I60" s="17">
        <v>2819.8870000000002</v>
      </c>
      <c r="J60" s="17">
        <v>2806.855</v>
      </c>
      <c r="K60" s="16">
        <v>12080</v>
      </c>
      <c r="L60" s="16">
        <v>18603</v>
      </c>
      <c r="M60" s="17">
        <v>2246.1439999999998</v>
      </c>
      <c r="N60" s="17">
        <v>1629.3330000000001</v>
      </c>
    </row>
    <row r="61" spans="1:14" s="3" customFormat="1" ht="27.95" customHeight="1" x14ac:dyDescent="0.25">
      <c r="A61" s="9">
        <v>47</v>
      </c>
      <c r="B61" s="10" t="s">
        <v>50</v>
      </c>
      <c r="C61" s="16">
        <v>1992</v>
      </c>
      <c r="D61" s="16">
        <v>2415</v>
      </c>
      <c r="E61" s="17">
        <v>18.439</v>
      </c>
      <c r="F61" s="17">
        <v>97.948999999999998</v>
      </c>
      <c r="G61" s="11">
        <v>1889</v>
      </c>
      <c r="H61" s="11">
        <v>1599</v>
      </c>
      <c r="I61" s="12">
        <v>12.254</v>
      </c>
      <c r="J61" s="12">
        <v>113.61199999999999</v>
      </c>
      <c r="K61" s="11">
        <v>1043</v>
      </c>
      <c r="L61" s="11">
        <v>665</v>
      </c>
      <c r="M61" s="12">
        <v>0</v>
      </c>
      <c r="N61" s="12">
        <v>62.87</v>
      </c>
    </row>
    <row r="62" spans="1:14" s="3" customFormat="1" ht="27.95" customHeight="1" x14ac:dyDescent="0.25">
      <c r="A62" s="9">
        <v>48</v>
      </c>
      <c r="B62" s="10" t="s">
        <v>51</v>
      </c>
      <c r="C62" s="16">
        <v>39753</v>
      </c>
      <c r="D62" s="16">
        <v>43489</v>
      </c>
      <c r="E62" s="17">
        <v>1087.817</v>
      </c>
      <c r="F62" s="17">
        <v>970.02200000000005</v>
      </c>
      <c r="G62" s="16">
        <v>30970</v>
      </c>
      <c r="H62" s="16">
        <v>35807</v>
      </c>
      <c r="I62" s="17">
        <v>842.75199999999995</v>
      </c>
      <c r="J62" s="17">
        <v>1011.1079999999999</v>
      </c>
      <c r="K62" s="16">
        <v>11754</v>
      </c>
      <c r="L62" s="16">
        <v>15386</v>
      </c>
      <c r="M62" s="17">
        <v>787.85799999999995</v>
      </c>
      <c r="N62" s="17">
        <v>937.33600000000001</v>
      </c>
    </row>
    <row r="63" spans="1:14" s="3" customFormat="1" ht="27.95" customHeight="1" x14ac:dyDescent="0.25">
      <c r="A63" s="9">
        <v>49</v>
      </c>
      <c r="B63" s="18" t="s">
        <v>52</v>
      </c>
      <c r="C63" s="16">
        <v>29618</v>
      </c>
      <c r="D63" s="16">
        <v>28077</v>
      </c>
      <c r="E63" s="17">
        <v>35.097000000000001</v>
      </c>
      <c r="F63" s="17">
        <v>83.94</v>
      </c>
      <c r="G63" s="16">
        <v>19626</v>
      </c>
      <c r="H63" s="16">
        <v>25497</v>
      </c>
      <c r="I63" s="17">
        <v>35.808</v>
      </c>
      <c r="J63" s="17">
        <v>75.396000000000001</v>
      </c>
      <c r="K63" s="16">
        <v>7321</v>
      </c>
      <c r="L63" s="16">
        <v>6734</v>
      </c>
      <c r="M63" s="17">
        <v>33.82</v>
      </c>
      <c r="N63" s="17">
        <v>35.04</v>
      </c>
    </row>
    <row r="64" spans="1:14" s="3" customFormat="1" ht="27.95" customHeight="1" x14ac:dyDescent="0.25">
      <c r="A64" s="9">
        <v>50</v>
      </c>
      <c r="B64" s="10" t="s">
        <v>53</v>
      </c>
      <c r="C64" s="16">
        <v>1912</v>
      </c>
      <c r="D64" s="16">
        <v>1933</v>
      </c>
      <c r="E64" s="17">
        <v>0</v>
      </c>
      <c r="F64" s="17">
        <v>0</v>
      </c>
      <c r="G64" s="16">
        <v>97</v>
      </c>
      <c r="H64" s="16">
        <v>243</v>
      </c>
      <c r="I64" s="17">
        <v>0</v>
      </c>
      <c r="J64" s="17">
        <v>0</v>
      </c>
      <c r="K64" s="16">
        <v>897</v>
      </c>
      <c r="L64" s="16">
        <v>2141</v>
      </c>
      <c r="M64" s="17">
        <v>0</v>
      </c>
      <c r="N64" s="17">
        <v>0</v>
      </c>
    </row>
    <row r="65" spans="1:14" s="3" customFormat="1" ht="27.95" customHeight="1" x14ac:dyDescent="0.25">
      <c r="A65" s="9">
        <v>51</v>
      </c>
      <c r="B65" s="18" t="s">
        <v>54</v>
      </c>
      <c r="C65" s="16">
        <v>9905</v>
      </c>
      <c r="D65" s="16">
        <v>9502</v>
      </c>
      <c r="E65" s="17">
        <v>11.154999999999999</v>
      </c>
      <c r="F65" s="17">
        <v>44.284999999999997</v>
      </c>
      <c r="G65" s="19">
        <v>10818</v>
      </c>
      <c r="H65" s="19">
        <v>9726</v>
      </c>
      <c r="I65" s="17">
        <v>9.2609999999999992</v>
      </c>
      <c r="J65" s="17">
        <v>58.786000000000001</v>
      </c>
      <c r="K65" s="16"/>
      <c r="L65" s="16"/>
      <c r="M65" s="17">
        <v>0</v>
      </c>
      <c r="N65" s="17">
        <v>0</v>
      </c>
    </row>
    <row r="66" spans="1:14" s="3" customFormat="1" ht="27.95" customHeight="1" x14ac:dyDescent="0.25">
      <c r="A66" s="9">
        <v>52</v>
      </c>
      <c r="B66" s="10" t="s">
        <v>81</v>
      </c>
      <c r="C66" s="16">
        <v>1960</v>
      </c>
      <c r="D66" s="16">
        <v>2065</v>
      </c>
      <c r="E66" s="17">
        <v>0</v>
      </c>
      <c r="F66" s="17">
        <v>0</v>
      </c>
      <c r="G66" s="16">
        <v>1592</v>
      </c>
      <c r="H66" s="16">
        <v>1892</v>
      </c>
      <c r="I66" s="25">
        <v>0</v>
      </c>
      <c r="J66" s="25">
        <v>0</v>
      </c>
      <c r="K66" s="16">
        <v>544</v>
      </c>
      <c r="L66" s="16">
        <v>826</v>
      </c>
      <c r="M66" s="17">
        <v>0</v>
      </c>
      <c r="N66" s="17">
        <v>0</v>
      </c>
    </row>
    <row r="67" spans="1:14" s="3" customFormat="1" ht="33.75" customHeight="1" x14ac:dyDescent="0.25">
      <c r="A67" s="9">
        <v>53</v>
      </c>
      <c r="B67" s="10" t="s">
        <v>55</v>
      </c>
      <c r="C67" s="16">
        <v>83088</v>
      </c>
      <c r="D67" s="16">
        <v>98166</v>
      </c>
      <c r="E67" s="17">
        <v>358.41681</v>
      </c>
      <c r="F67" s="17">
        <v>1837.0251599999999</v>
      </c>
      <c r="G67" s="16">
        <v>67232</v>
      </c>
      <c r="H67" s="16">
        <v>82322</v>
      </c>
      <c r="I67" s="17">
        <v>231.91499999999999</v>
      </c>
      <c r="J67" s="17">
        <v>2072.181</v>
      </c>
      <c r="K67" s="16">
        <v>32700</v>
      </c>
      <c r="L67" s="16">
        <v>30611</v>
      </c>
      <c r="M67" s="17">
        <v>113.369</v>
      </c>
      <c r="N67" s="17">
        <v>947.73199999999997</v>
      </c>
    </row>
    <row r="68" spans="1:14" s="3" customFormat="1" ht="36.75" customHeight="1" x14ac:dyDescent="0.25">
      <c r="A68" s="9">
        <v>54</v>
      </c>
      <c r="B68" s="10" t="s">
        <v>56</v>
      </c>
      <c r="C68" s="16">
        <v>86574</v>
      </c>
      <c r="D68" s="16">
        <v>92932</v>
      </c>
      <c r="E68" s="17">
        <v>6108.6</v>
      </c>
      <c r="F68" s="17">
        <v>9160.5049999999992</v>
      </c>
      <c r="G68" s="16">
        <v>72842</v>
      </c>
      <c r="H68" s="16">
        <v>83992</v>
      </c>
      <c r="I68" s="17">
        <v>7528.05</v>
      </c>
      <c r="J68" s="17">
        <v>10735.833000000001</v>
      </c>
      <c r="K68" s="16">
        <v>35247</v>
      </c>
      <c r="L68" s="16">
        <v>47697</v>
      </c>
      <c r="M68" s="17">
        <v>6918.1170000000002</v>
      </c>
      <c r="N68" s="17">
        <v>8955.6229999999996</v>
      </c>
    </row>
    <row r="69" spans="1:14" s="3" customFormat="1" ht="33" customHeight="1" x14ac:dyDescent="0.25">
      <c r="A69" s="9">
        <v>55</v>
      </c>
      <c r="B69" s="10" t="s">
        <v>57</v>
      </c>
      <c r="C69" s="16">
        <v>9485</v>
      </c>
      <c r="D69" s="16">
        <v>7779</v>
      </c>
      <c r="E69" s="17">
        <v>64.66</v>
      </c>
      <c r="F69" s="17">
        <v>0.4</v>
      </c>
      <c r="G69" s="16">
        <v>8243</v>
      </c>
      <c r="H69" s="16">
        <v>7867</v>
      </c>
      <c r="I69" s="17">
        <v>57.615000000000002</v>
      </c>
      <c r="J69" s="17">
        <v>0.40500000000000003</v>
      </c>
      <c r="K69" s="16">
        <v>2805</v>
      </c>
      <c r="L69" s="16">
        <v>4071</v>
      </c>
      <c r="M69" s="17">
        <v>0.74299999999999999</v>
      </c>
      <c r="N69" s="17">
        <v>32.294899999999998</v>
      </c>
    </row>
    <row r="70" spans="1:14" s="3" customFormat="1" ht="27.95" customHeight="1" x14ac:dyDescent="0.25">
      <c r="A70" s="9">
        <v>56</v>
      </c>
      <c r="B70" s="13" t="s">
        <v>92</v>
      </c>
      <c r="C70" s="16">
        <v>9056</v>
      </c>
      <c r="D70" s="16">
        <v>8700</v>
      </c>
      <c r="E70" s="17">
        <v>0.73920000000000008</v>
      </c>
      <c r="F70" s="17">
        <v>0.754</v>
      </c>
      <c r="G70" s="16">
        <v>8603</v>
      </c>
      <c r="H70" s="16">
        <v>8670</v>
      </c>
      <c r="I70" s="25">
        <v>8.2152999999999992</v>
      </c>
      <c r="J70" s="17">
        <v>0</v>
      </c>
      <c r="K70" s="19">
        <v>3339</v>
      </c>
      <c r="L70" s="16">
        <v>6969</v>
      </c>
      <c r="M70" s="17">
        <v>1.1359999999999999</v>
      </c>
      <c r="N70" s="17">
        <v>0</v>
      </c>
    </row>
    <row r="71" spans="1:14" s="3" customFormat="1" ht="27.95" customHeight="1" x14ac:dyDescent="0.25">
      <c r="A71" s="9">
        <v>57</v>
      </c>
      <c r="B71" s="18" t="s">
        <v>88</v>
      </c>
      <c r="C71" s="16">
        <v>2306</v>
      </c>
      <c r="D71" s="16">
        <v>1815</v>
      </c>
      <c r="E71" s="17">
        <v>0</v>
      </c>
      <c r="F71" s="17">
        <v>0</v>
      </c>
      <c r="G71" s="19">
        <v>763</v>
      </c>
      <c r="H71" s="19">
        <v>896</v>
      </c>
      <c r="I71" s="25">
        <v>0</v>
      </c>
      <c r="J71" s="25">
        <v>0</v>
      </c>
      <c r="K71" s="16">
        <v>257</v>
      </c>
      <c r="L71" s="16">
        <v>388</v>
      </c>
      <c r="M71" s="17">
        <v>0</v>
      </c>
      <c r="N71" s="17">
        <v>0</v>
      </c>
    </row>
    <row r="72" spans="1:14" s="3" customFormat="1" ht="27.95" customHeight="1" x14ac:dyDescent="0.25">
      <c r="A72" s="9">
        <v>58</v>
      </c>
      <c r="B72" s="10" t="s">
        <v>58</v>
      </c>
      <c r="C72" s="16">
        <v>68031</v>
      </c>
      <c r="D72" s="16">
        <v>76307</v>
      </c>
      <c r="E72" s="17">
        <v>513.67499999999995</v>
      </c>
      <c r="F72" s="17">
        <v>1761.98</v>
      </c>
      <c r="G72" s="16">
        <v>52060</v>
      </c>
      <c r="H72" s="16">
        <v>57797</v>
      </c>
      <c r="I72" s="17">
        <v>561.20500000000004</v>
      </c>
      <c r="J72" s="17">
        <v>2017.634</v>
      </c>
      <c r="K72" s="19">
        <v>26118</v>
      </c>
      <c r="L72" s="16">
        <v>21446</v>
      </c>
      <c r="M72" s="17">
        <v>172.761</v>
      </c>
      <c r="N72" s="17">
        <v>1308.0640000000001</v>
      </c>
    </row>
    <row r="73" spans="1:14" s="3" customFormat="1" ht="27.95" customHeight="1" x14ac:dyDescent="0.25">
      <c r="A73" s="9">
        <v>59</v>
      </c>
      <c r="B73" s="10" t="s">
        <v>93</v>
      </c>
      <c r="C73" s="16">
        <v>934</v>
      </c>
      <c r="D73" s="16">
        <v>919</v>
      </c>
      <c r="E73" s="17">
        <v>0</v>
      </c>
      <c r="F73" s="17">
        <v>0</v>
      </c>
      <c r="G73" s="16">
        <v>909</v>
      </c>
      <c r="H73" s="16">
        <v>911</v>
      </c>
      <c r="I73" s="17">
        <v>0</v>
      </c>
      <c r="J73" s="17">
        <v>0</v>
      </c>
      <c r="K73" s="16">
        <v>434</v>
      </c>
      <c r="L73" s="16">
        <v>697</v>
      </c>
      <c r="M73" s="17">
        <v>0</v>
      </c>
      <c r="N73" s="17">
        <v>0</v>
      </c>
    </row>
    <row r="74" spans="1:14" s="3" customFormat="1" ht="27.95" customHeight="1" x14ac:dyDescent="0.25">
      <c r="A74" s="9">
        <v>60</v>
      </c>
      <c r="B74" s="10" t="s">
        <v>89</v>
      </c>
      <c r="C74" s="16">
        <v>43078</v>
      </c>
      <c r="D74" s="16">
        <v>43870</v>
      </c>
      <c r="E74" s="17">
        <v>256.81099999999998</v>
      </c>
      <c r="F74" s="17">
        <v>402.32400000000001</v>
      </c>
      <c r="G74" s="16">
        <v>31415</v>
      </c>
      <c r="H74" s="16">
        <v>32498</v>
      </c>
      <c r="I74" s="17">
        <v>174.999</v>
      </c>
      <c r="J74" s="17">
        <v>452.33699999999999</v>
      </c>
      <c r="K74" s="16">
        <v>15315</v>
      </c>
      <c r="L74" s="16">
        <v>19235</v>
      </c>
      <c r="M74" s="17">
        <v>97.382000000000005</v>
      </c>
      <c r="N74" s="17">
        <v>326.80099999999999</v>
      </c>
    </row>
    <row r="75" spans="1:14" s="3" customFormat="1" ht="27.95" customHeight="1" x14ac:dyDescent="0.25">
      <c r="A75" s="9">
        <v>61</v>
      </c>
      <c r="B75" s="10" t="s">
        <v>59</v>
      </c>
      <c r="C75" s="16">
        <v>1923</v>
      </c>
      <c r="D75" s="16">
        <v>1397</v>
      </c>
      <c r="E75" s="17">
        <v>0</v>
      </c>
      <c r="F75" s="17">
        <v>0</v>
      </c>
      <c r="G75" s="16">
        <v>0</v>
      </c>
      <c r="H75" s="16">
        <v>0</v>
      </c>
      <c r="I75" s="17">
        <v>0</v>
      </c>
      <c r="J75" s="17">
        <v>0</v>
      </c>
      <c r="K75" s="16">
        <v>0</v>
      </c>
      <c r="L75" s="16">
        <v>0</v>
      </c>
      <c r="M75" s="17">
        <v>0</v>
      </c>
      <c r="N75" s="17">
        <v>0</v>
      </c>
    </row>
    <row r="76" spans="1:14" s="3" customFormat="1" ht="27.95" customHeight="1" x14ac:dyDescent="0.25">
      <c r="A76" s="9">
        <v>62</v>
      </c>
      <c r="B76" s="10" t="s">
        <v>60</v>
      </c>
      <c r="C76" s="16">
        <v>19601</v>
      </c>
      <c r="D76" s="16">
        <v>24586</v>
      </c>
      <c r="E76" s="17">
        <v>60</v>
      </c>
      <c r="F76" s="17">
        <v>124</v>
      </c>
      <c r="G76" s="16">
        <v>12340</v>
      </c>
      <c r="H76" s="16">
        <v>19454</v>
      </c>
      <c r="I76" s="17">
        <v>56</v>
      </c>
      <c r="J76" s="17">
        <v>168</v>
      </c>
      <c r="K76" s="16">
        <v>4649</v>
      </c>
      <c r="L76" s="16">
        <v>8613</v>
      </c>
      <c r="M76" s="17">
        <v>43</v>
      </c>
      <c r="N76" s="17">
        <v>100</v>
      </c>
    </row>
    <row r="77" spans="1:14" s="3" customFormat="1" ht="27.95" customHeight="1" x14ac:dyDescent="0.25">
      <c r="A77" s="9">
        <v>63</v>
      </c>
      <c r="B77" s="10" t="s">
        <v>61</v>
      </c>
      <c r="C77" s="16">
        <v>70988</v>
      </c>
      <c r="D77" s="16">
        <v>80095</v>
      </c>
      <c r="E77" s="17">
        <v>2252.6</v>
      </c>
      <c r="F77" s="17">
        <v>2663</v>
      </c>
      <c r="G77" s="16">
        <v>50452</v>
      </c>
      <c r="H77" s="16">
        <v>62959</v>
      </c>
      <c r="I77" s="17">
        <v>1895</v>
      </c>
      <c r="J77" s="17">
        <v>2787</v>
      </c>
      <c r="K77" s="16">
        <v>21831</v>
      </c>
      <c r="L77" s="16">
        <v>35696</v>
      </c>
      <c r="M77" s="17">
        <v>1620</v>
      </c>
      <c r="N77" s="17">
        <v>2075</v>
      </c>
    </row>
    <row r="78" spans="1:14" s="3" customFormat="1" ht="27.95" customHeight="1" x14ac:dyDescent="0.25">
      <c r="A78" s="9">
        <v>64</v>
      </c>
      <c r="B78" s="10" t="s">
        <v>85</v>
      </c>
      <c r="C78" s="16">
        <v>83419</v>
      </c>
      <c r="D78" s="16">
        <v>85710</v>
      </c>
      <c r="E78" s="17">
        <v>523.26099999999997</v>
      </c>
      <c r="F78" s="17">
        <v>1307.421</v>
      </c>
      <c r="G78" s="16">
        <v>73916</v>
      </c>
      <c r="H78" s="16">
        <v>78209</v>
      </c>
      <c r="I78" s="17">
        <v>695.43200000000002</v>
      </c>
      <c r="J78" s="17">
        <v>3118.1080000000002</v>
      </c>
      <c r="K78" s="16">
        <v>36571</v>
      </c>
      <c r="L78" s="16">
        <v>30844</v>
      </c>
      <c r="M78" s="17">
        <v>400.67520000000002</v>
      </c>
      <c r="N78" s="17">
        <v>893.70699999999999</v>
      </c>
    </row>
    <row r="79" spans="1:14" s="3" customFormat="1" ht="27.95" customHeight="1" x14ac:dyDescent="0.25">
      <c r="A79" s="9">
        <v>65</v>
      </c>
      <c r="B79" s="10" t="s">
        <v>62</v>
      </c>
      <c r="C79" s="16">
        <v>11813</v>
      </c>
      <c r="D79" s="16">
        <v>13553</v>
      </c>
      <c r="E79" s="17">
        <v>542.42399999999998</v>
      </c>
      <c r="F79" s="17">
        <v>839.32799999999997</v>
      </c>
      <c r="G79" s="16">
        <v>9394</v>
      </c>
      <c r="H79" s="16">
        <v>11530</v>
      </c>
      <c r="I79" s="17">
        <v>649.79600000000005</v>
      </c>
      <c r="J79" s="17">
        <v>880.53499999999997</v>
      </c>
      <c r="K79" s="16">
        <v>2099</v>
      </c>
      <c r="L79" s="16">
        <v>4059</v>
      </c>
      <c r="M79" s="17">
        <v>258.86799999999999</v>
      </c>
      <c r="N79" s="17">
        <v>367.66899999999998</v>
      </c>
    </row>
    <row r="80" spans="1:14" s="3" customFormat="1" ht="27.95" customHeight="1" x14ac:dyDescent="0.25">
      <c r="A80" s="9">
        <v>66</v>
      </c>
      <c r="B80" s="10" t="s">
        <v>63</v>
      </c>
      <c r="C80" s="16">
        <v>27568</v>
      </c>
      <c r="D80" s="16">
        <v>25996</v>
      </c>
      <c r="E80" s="17">
        <v>151.351</v>
      </c>
      <c r="F80" s="17">
        <v>122.008</v>
      </c>
      <c r="G80" s="16">
        <v>20123</v>
      </c>
      <c r="H80" s="16">
        <v>15832</v>
      </c>
      <c r="I80" s="17">
        <v>54.475999999999999</v>
      </c>
      <c r="J80" s="17">
        <v>146.636</v>
      </c>
      <c r="K80" s="16">
        <v>7736</v>
      </c>
      <c r="L80" s="16">
        <v>7410</v>
      </c>
      <c r="M80" s="17">
        <v>15.73</v>
      </c>
      <c r="N80" s="17">
        <v>90.843000000000004</v>
      </c>
    </row>
    <row r="81" spans="1:14" s="3" customFormat="1" ht="27.95" customHeight="1" x14ac:dyDescent="0.25">
      <c r="A81" s="9">
        <v>67</v>
      </c>
      <c r="B81" s="10" t="s">
        <v>64</v>
      </c>
      <c r="C81" s="16">
        <v>62127</v>
      </c>
      <c r="D81" s="16">
        <v>64076</v>
      </c>
      <c r="E81" s="17">
        <v>2356.9569999999999</v>
      </c>
      <c r="F81" s="17">
        <v>1956.8789999999999</v>
      </c>
      <c r="G81" s="16">
        <v>38203</v>
      </c>
      <c r="H81" s="16">
        <v>45076</v>
      </c>
      <c r="I81" s="17">
        <v>2085.3409999999999</v>
      </c>
      <c r="J81" s="17">
        <v>1994.059</v>
      </c>
      <c r="K81" s="16">
        <v>12987</v>
      </c>
      <c r="L81" s="16">
        <v>16252</v>
      </c>
      <c r="M81" s="17">
        <v>1265.893</v>
      </c>
      <c r="N81" s="17">
        <v>969.34799999999996</v>
      </c>
    </row>
    <row r="82" spans="1:14" s="3" customFormat="1" ht="27.95" customHeight="1" x14ac:dyDescent="0.25">
      <c r="A82" s="9">
        <v>68</v>
      </c>
      <c r="B82" s="10" t="s">
        <v>86</v>
      </c>
      <c r="C82" s="16">
        <v>2715</v>
      </c>
      <c r="D82" s="16">
        <v>3572</v>
      </c>
      <c r="E82" s="17">
        <v>28.344999999999999</v>
      </c>
      <c r="F82" s="17">
        <v>38.28</v>
      </c>
      <c r="G82" s="16">
        <v>2046</v>
      </c>
      <c r="H82" s="16">
        <v>1446</v>
      </c>
      <c r="I82" s="17">
        <v>23.199000000000002</v>
      </c>
      <c r="J82" s="17">
        <v>33.918999999999997</v>
      </c>
      <c r="K82" s="16">
        <v>268</v>
      </c>
      <c r="L82" s="16">
        <v>110</v>
      </c>
      <c r="M82" s="17">
        <v>4.8520000000000003</v>
      </c>
      <c r="N82" s="17">
        <v>9.36</v>
      </c>
    </row>
    <row r="83" spans="1:14" s="3" customFormat="1" ht="27.95" customHeight="1" x14ac:dyDescent="0.25">
      <c r="A83" s="9">
        <v>69</v>
      </c>
      <c r="B83" s="10" t="s">
        <v>82</v>
      </c>
      <c r="C83" s="16">
        <v>9554</v>
      </c>
      <c r="D83" s="16">
        <v>10366</v>
      </c>
      <c r="E83" s="17">
        <v>0</v>
      </c>
      <c r="F83" s="17">
        <v>0</v>
      </c>
      <c r="G83" s="16">
        <v>12596</v>
      </c>
      <c r="H83" s="16">
        <v>13752</v>
      </c>
      <c r="I83" s="17">
        <v>0</v>
      </c>
      <c r="J83" s="17">
        <v>0</v>
      </c>
      <c r="K83" s="16">
        <v>4874</v>
      </c>
      <c r="L83" s="16">
        <v>5244</v>
      </c>
      <c r="M83" s="17">
        <v>0</v>
      </c>
      <c r="N83" s="17">
        <v>0</v>
      </c>
    </row>
    <row r="84" spans="1:14" s="3" customFormat="1" ht="27.95" customHeight="1" x14ac:dyDescent="0.25">
      <c r="A84" s="9">
        <v>70</v>
      </c>
      <c r="B84" s="10" t="s">
        <v>65</v>
      </c>
      <c r="C84" s="16">
        <v>22328</v>
      </c>
      <c r="D84" s="16">
        <v>22830</v>
      </c>
      <c r="E84" s="17">
        <v>1739.9369999999999</v>
      </c>
      <c r="F84" s="17">
        <v>2104.6529999999998</v>
      </c>
      <c r="G84" s="16">
        <v>20659</v>
      </c>
      <c r="H84" s="16">
        <v>21254</v>
      </c>
      <c r="I84" s="17">
        <v>1810.6310000000001</v>
      </c>
      <c r="J84" s="17">
        <v>2071.7910000000002</v>
      </c>
      <c r="K84" s="16">
        <v>4790</v>
      </c>
      <c r="L84" s="16">
        <v>11404</v>
      </c>
      <c r="M84" s="17">
        <v>2995.4128100000003</v>
      </c>
      <c r="N84" s="17">
        <v>3638.6909999999998</v>
      </c>
    </row>
    <row r="85" spans="1:14" s="3" customFormat="1" ht="27.95" customHeight="1" x14ac:dyDescent="0.25">
      <c r="A85" s="9">
        <v>71</v>
      </c>
      <c r="B85" s="18" t="s">
        <v>66</v>
      </c>
      <c r="C85" s="16">
        <v>1879</v>
      </c>
      <c r="D85" s="16">
        <v>1803</v>
      </c>
      <c r="E85" s="17">
        <v>0</v>
      </c>
      <c r="F85" s="17">
        <v>40.066099999999999</v>
      </c>
      <c r="G85" s="16">
        <v>1464</v>
      </c>
      <c r="H85" s="16">
        <v>1527</v>
      </c>
      <c r="I85" s="17">
        <v>0</v>
      </c>
      <c r="J85" s="17">
        <v>17.420999999999999</v>
      </c>
      <c r="K85" s="16"/>
      <c r="L85" s="16"/>
      <c r="M85" s="17">
        <v>0</v>
      </c>
      <c r="N85" s="17">
        <v>0</v>
      </c>
    </row>
    <row r="86" spans="1:14" s="3" customFormat="1" ht="27.95" customHeight="1" x14ac:dyDescent="0.25">
      <c r="A86" s="9">
        <v>72</v>
      </c>
      <c r="B86" s="10" t="s">
        <v>67</v>
      </c>
      <c r="C86" s="16">
        <v>9964</v>
      </c>
      <c r="D86" s="16">
        <v>10260</v>
      </c>
      <c r="E86" s="17">
        <v>35.759</v>
      </c>
      <c r="F86" s="17">
        <v>57.421999999999997</v>
      </c>
      <c r="G86" s="16">
        <v>15047</v>
      </c>
      <c r="H86" s="16">
        <v>16354</v>
      </c>
      <c r="I86" s="17">
        <v>87.641000000000005</v>
      </c>
      <c r="J86" s="17">
        <v>276.57400000000001</v>
      </c>
      <c r="K86" s="16">
        <v>11537</v>
      </c>
      <c r="L86" s="16">
        <v>16184</v>
      </c>
      <c r="M86" s="17">
        <v>107.423</v>
      </c>
      <c r="N86" s="17">
        <v>410.52300000000002</v>
      </c>
    </row>
    <row r="87" spans="1:14" s="3" customFormat="1" ht="31.5" customHeight="1" x14ac:dyDescent="0.25">
      <c r="A87" s="9">
        <v>73</v>
      </c>
      <c r="B87" s="10" t="s">
        <v>83</v>
      </c>
      <c r="C87" s="16">
        <v>6860</v>
      </c>
      <c r="D87" s="16">
        <v>6766</v>
      </c>
      <c r="E87" s="17">
        <v>0.67</v>
      </c>
      <c r="F87" s="17">
        <v>47.305999999999997</v>
      </c>
      <c r="G87" s="16">
        <v>6181</v>
      </c>
      <c r="H87" s="16">
        <v>6143</v>
      </c>
      <c r="I87" s="17">
        <v>0</v>
      </c>
      <c r="J87" s="17">
        <v>35.539000000000001</v>
      </c>
      <c r="K87" s="16">
        <v>2535</v>
      </c>
      <c r="L87" s="16">
        <v>3112</v>
      </c>
      <c r="M87" s="17">
        <v>0</v>
      </c>
      <c r="N87" s="17">
        <v>42.337000000000003</v>
      </c>
    </row>
    <row r="88" spans="1:14" s="3" customFormat="1" ht="35.25" customHeight="1" x14ac:dyDescent="0.25">
      <c r="A88" s="9">
        <v>74</v>
      </c>
      <c r="B88" s="10" t="s">
        <v>68</v>
      </c>
      <c r="C88" s="16">
        <v>5100</v>
      </c>
      <c r="D88" s="16">
        <v>5544</v>
      </c>
      <c r="E88" s="17">
        <v>5.5810000000000004</v>
      </c>
      <c r="F88" s="17">
        <v>78.001000000000005</v>
      </c>
      <c r="G88" s="16"/>
      <c r="H88" s="16"/>
      <c r="I88" s="17">
        <v>0</v>
      </c>
      <c r="J88" s="17">
        <v>0</v>
      </c>
      <c r="K88" s="16">
        <v>2015</v>
      </c>
      <c r="L88" s="16">
        <v>2967</v>
      </c>
      <c r="M88" s="17">
        <v>6.641</v>
      </c>
      <c r="N88" s="17">
        <v>62.95</v>
      </c>
    </row>
    <row r="89" spans="1:14" s="4" customFormat="1" ht="36.75" customHeight="1" x14ac:dyDescent="0.25">
      <c r="A89" s="9">
        <v>75</v>
      </c>
      <c r="B89" s="18" t="s">
        <v>69</v>
      </c>
      <c r="C89" s="16">
        <v>6746</v>
      </c>
      <c r="D89" s="16">
        <v>7820</v>
      </c>
      <c r="E89" s="17">
        <v>204.56800000000001</v>
      </c>
      <c r="F89" s="17">
        <v>411.11700000000002</v>
      </c>
      <c r="G89" s="16">
        <v>5669</v>
      </c>
      <c r="H89" s="16">
        <v>7138</v>
      </c>
      <c r="I89" s="17">
        <v>203.52</v>
      </c>
      <c r="J89" s="17">
        <v>393.173</v>
      </c>
      <c r="K89" s="16">
        <v>2534</v>
      </c>
      <c r="L89" s="16">
        <v>5108</v>
      </c>
      <c r="M89" s="17">
        <v>171.56399999999999</v>
      </c>
      <c r="N89" s="17">
        <v>343.80500000000001</v>
      </c>
    </row>
    <row r="90" spans="1:14" s="4" customFormat="1" ht="33.75" customHeight="1" x14ac:dyDescent="0.25">
      <c r="A90" s="9">
        <v>76</v>
      </c>
      <c r="B90" s="18" t="s">
        <v>70</v>
      </c>
      <c r="C90" s="16">
        <v>1321</v>
      </c>
      <c r="D90" s="16">
        <v>1252</v>
      </c>
      <c r="E90" s="17">
        <v>0</v>
      </c>
      <c r="F90" s="17">
        <v>7.141</v>
      </c>
      <c r="G90" s="16">
        <v>1153</v>
      </c>
      <c r="H90" s="16">
        <v>1179</v>
      </c>
      <c r="I90" s="17">
        <v>0</v>
      </c>
      <c r="J90" s="17">
        <v>8.9740000000000002</v>
      </c>
      <c r="K90" s="16">
        <v>445</v>
      </c>
      <c r="L90" s="16">
        <v>746</v>
      </c>
      <c r="M90" s="17">
        <v>0</v>
      </c>
      <c r="N90" s="17">
        <v>6.0030000000000001</v>
      </c>
    </row>
    <row r="91" spans="1:14" ht="27.75" customHeight="1" x14ac:dyDescent="0.25">
      <c r="A91" s="34" t="s">
        <v>71</v>
      </c>
      <c r="B91" s="34"/>
      <c r="C91" s="7">
        <f>SUM(C15:C90)</f>
        <v>1691229</v>
      </c>
      <c r="D91" s="7">
        <f>SUM(D15:D90)</f>
        <v>1815155</v>
      </c>
      <c r="E91" s="27">
        <f>SUM(E15:E90)</f>
        <v>42751.878930000006</v>
      </c>
      <c r="F91" s="27">
        <f>SUM(F15:F90)</f>
        <v>62319.650180000004</v>
      </c>
      <c r="G91" s="7">
        <f>SUM(G15:G90)</f>
        <v>1340064</v>
      </c>
      <c r="H91" s="7">
        <f>SUM(H15:H90)</f>
        <v>1523019</v>
      </c>
      <c r="I91" s="27">
        <f>SUM(I15:I90)</f>
        <v>42006.405080000019</v>
      </c>
      <c r="J91" s="27">
        <f>SUM(J15:J90)</f>
        <v>71178.840819999969</v>
      </c>
      <c r="K91" s="7">
        <f>SUM(K15:K90)</f>
        <v>467367</v>
      </c>
      <c r="L91" s="7">
        <f>SUM(L15:L90)</f>
        <v>572231</v>
      </c>
      <c r="M91" s="27">
        <f>SUM(M15:M90)</f>
        <v>24878.937699999995</v>
      </c>
      <c r="N91" s="27">
        <f>SUM(N15:N90)</f>
        <v>41597.787809999987</v>
      </c>
    </row>
    <row r="92" spans="1:14" ht="41.25" customHeight="1" x14ac:dyDescent="0.25">
      <c r="A92" s="36" t="s">
        <v>72</v>
      </c>
      <c r="B92" s="37"/>
      <c r="C92" s="6">
        <f>C13+C91</f>
        <v>2835895</v>
      </c>
      <c r="D92" s="6">
        <f>D13+D91</f>
        <v>2980725</v>
      </c>
      <c r="E92" s="8">
        <f>E13+E91</f>
        <v>47676.907390000008</v>
      </c>
      <c r="F92" s="8">
        <f>F13+F91</f>
        <v>76170.228920000009</v>
      </c>
      <c r="G92" s="6">
        <f>G13+G91</f>
        <v>2278987</v>
      </c>
      <c r="H92" s="6">
        <f>H13+H91</f>
        <v>2519088</v>
      </c>
      <c r="I92" s="8">
        <f>I13+I91</f>
        <v>46479.509700000017</v>
      </c>
      <c r="J92" s="8">
        <f>J13+J91</f>
        <v>85631.91277999997</v>
      </c>
      <c r="K92" s="6">
        <f>K13+K91</f>
        <v>929139</v>
      </c>
      <c r="L92" s="6">
        <f>L13+L91</f>
        <v>1023855</v>
      </c>
      <c r="M92" s="8">
        <f>M13+M91</f>
        <v>27847.501819999994</v>
      </c>
      <c r="N92" s="8">
        <f>N13+N91</f>
        <v>51225.438769999986</v>
      </c>
    </row>
    <row r="93" spans="1:14" s="3" customFormat="1" ht="30.75" customHeight="1" x14ac:dyDescent="0.25">
      <c r="A93" s="30" t="s">
        <v>87</v>
      </c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2"/>
    </row>
    <row r="94" spans="1:14" s="3" customFormat="1" ht="21" customHeight="1" x14ac:dyDescent="0.25">
      <c r="A94" s="29" t="s">
        <v>80</v>
      </c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</row>
    <row r="95" spans="1:14" ht="18.75" customHeight="1" x14ac:dyDescent="0.25"/>
    <row r="96" spans="1:14" ht="18.75" customHeight="1" x14ac:dyDescent="0.25"/>
    <row r="97" ht="18.75" customHeight="1" x14ac:dyDescent="0.25"/>
  </sheetData>
  <mergeCells count="14">
    <mergeCell ref="A1:N1"/>
    <mergeCell ref="A2:N2"/>
    <mergeCell ref="A3:A4"/>
    <mergeCell ref="B3:B4"/>
    <mergeCell ref="C3:F3"/>
    <mergeCell ref="G3:J3"/>
    <mergeCell ref="K3:N3"/>
    <mergeCell ref="A94:N94"/>
    <mergeCell ref="A93:N93"/>
    <mergeCell ref="A5:N5"/>
    <mergeCell ref="A13:B13"/>
    <mergeCell ref="A14:N14"/>
    <mergeCell ref="A91:B91"/>
    <mergeCell ref="A92:B92"/>
  </mergeCells>
  <printOptions horizontalCentered="1"/>
  <pageMargins left="0" right="0" top="3.937007874015748E-2" bottom="3.937007874015748E-2" header="0.31496062992125984" footer="0.31496062992125984"/>
  <pageSetup scale="41" fitToHeight="2" orientation="landscape" r:id="rId1"/>
  <headerFooter>
    <oddFooter>Page &amp;P of &amp;N</oddFooter>
  </headerFooter>
  <rowBreaks count="1" manualBreakCount="1">
    <brk id="5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2020-08-17T11:35:15Z</dcterms:modified>
</cp:coreProperties>
</file>