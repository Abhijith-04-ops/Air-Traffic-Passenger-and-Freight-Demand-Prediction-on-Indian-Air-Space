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MONTHWISE" sheetId="2" r:id="rId1"/>
  </sheets>
  <definedNames>
    <definedName name="_">#REF!</definedName>
    <definedName name="_xlnm._FilterDatabase" localSheetId="0" hidden="1">MONTHWISE!#REF!</definedName>
    <definedName name="_xlnm.Print_Area" localSheetId="0">MONTHWISE!$A$1:$N$65</definedName>
    <definedName name="Print_Area_1">#REF!</definedName>
    <definedName name="Print_Area_2">#REF!</definedName>
    <definedName name="Print_Area_3">#REF!</definedName>
    <definedName name="_xlnm.Print_Titles" localSheetId="0">MONTHWISE!$A:$B,MONTHWISE!$1:$4</definedName>
  </definedNames>
  <calcPr calcId="152511"/>
</workbook>
</file>

<file path=xl/calcChain.xml><?xml version="1.0" encoding="utf-8"?>
<calcChain xmlns="http://schemas.openxmlformats.org/spreadsheetml/2006/main">
  <c r="C13" i="2" l="1"/>
  <c r="D13" i="2"/>
  <c r="E13" i="2"/>
  <c r="F13" i="2"/>
  <c r="G13" i="2"/>
  <c r="H13" i="2"/>
  <c r="I13" i="2"/>
  <c r="J13" i="2"/>
  <c r="K13" i="2"/>
  <c r="L13" i="2"/>
  <c r="M13" i="2"/>
  <c r="N13" i="2"/>
  <c r="D61" i="2" l="1"/>
  <c r="E61" i="2"/>
  <c r="F61" i="2"/>
  <c r="G61" i="2"/>
  <c r="H61" i="2"/>
  <c r="I61" i="2"/>
  <c r="J61" i="2"/>
  <c r="K61" i="2"/>
  <c r="L61" i="2"/>
  <c r="M61" i="2"/>
  <c r="N61" i="2"/>
  <c r="C61" i="2"/>
  <c r="L62" i="2" l="1"/>
  <c r="M62" i="2"/>
  <c r="N62" i="2"/>
  <c r="D62" i="2" l="1"/>
  <c r="E62" i="2"/>
  <c r="F62" i="2"/>
  <c r="G62" i="2"/>
  <c r="H62" i="2"/>
  <c r="I62" i="2"/>
  <c r="J62" i="2"/>
  <c r="K62" i="2"/>
  <c r="C62" i="2" l="1"/>
</calcChain>
</file>

<file path=xl/sharedStrings.xml><?xml version="1.0" encoding="utf-8"?>
<sst xmlns="http://schemas.openxmlformats.org/spreadsheetml/2006/main" count="80" uniqueCount="72">
  <si>
    <t>NAME OF THE AIRLINE</t>
  </si>
  <si>
    <t>DOMESTIC CARRIERS</t>
  </si>
  <si>
    <t>AIR INDIA</t>
  </si>
  <si>
    <t>TOTAL (DOMESTIC CARRIERS)</t>
  </si>
  <si>
    <t xml:space="preserve">FOREIGN CARRIERS </t>
  </si>
  <si>
    <t>AEROFLOT</t>
  </si>
  <si>
    <t>AEROLOGIC</t>
  </si>
  <si>
    <t>AIR ARABIA</t>
  </si>
  <si>
    <t>ALL NIPPON AIRWAYS</t>
  </si>
  <si>
    <t>ARIANA AFGHAN</t>
  </si>
  <si>
    <t>BIMAN BANGLADESH</t>
  </si>
  <si>
    <t>CATHAY PACIFIC</t>
  </si>
  <si>
    <t>CHINA AIRLINES LTD</t>
  </si>
  <si>
    <t>CHINA EASTERN AIRLINES</t>
  </si>
  <si>
    <t>DRAGON AIR</t>
  </si>
  <si>
    <t>DRUK AIR</t>
  </si>
  <si>
    <t>EL-AL-ISRAEL</t>
  </si>
  <si>
    <t>ETIHAD AIRLINES</t>
  </si>
  <si>
    <t>FEDERAL EXPRESS</t>
  </si>
  <si>
    <t>IRAN AIR</t>
  </si>
  <si>
    <t>IRAQI AIRWAYS</t>
  </si>
  <si>
    <t>ISLAND AVIATION SERVICES</t>
  </si>
  <si>
    <t>JAPAN AIRLINES</t>
  </si>
  <si>
    <t>KALITTA AIR</t>
  </si>
  <si>
    <t>KENYA AIRWAYS</t>
  </si>
  <si>
    <t>KOREAN AIR</t>
  </si>
  <si>
    <t>LUFTHANSA</t>
  </si>
  <si>
    <t>MAHAN AIR</t>
  </si>
  <si>
    <t>MALAYSIA AIRLINES</t>
  </si>
  <si>
    <t>OMAN AIR</t>
  </si>
  <si>
    <t>QATAR AIRWAYS</t>
  </si>
  <si>
    <t>SAUDIA</t>
  </si>
  <si>
    <t>SILK AIR</t>
  </si>
  <si>
    <t>SINGAPORE AIRLINES</t>
  </si>
  <si>
    <t>TURKISH AIRLINES</t>
  </si>
  <si>
    <t>UNITED AIRLINES</t>
  </si>
  <si>
    <t>UZBEKISTAN AIRWAYS</t>
  </si>
  <si>
    <t>VIRGIN ATLANTIC AIRLINES</t>
  </si>
  <si>
    <t>YEMENIA AIRWAYS</t>
  </si>
  <si>
    <t>TOTAL (FOREIGN CARRIERS)</t>
  </si>
  <si>
    <t>TOTAL (DOMESTIC &amp; FOREIGN CARRIERS)</t>
  </si>
  <si>
    <t>(PASSENGERS IN NUMBER AND FREIGHT IN TONNES)</t>
  </si>
  <si>
    <t>PASSENGERS TO INDIA</t>
  </si>
  <si>
    <t>PASSENGERS FROM INDIA</t>
  </si>
  <si>
    <t>FREIGHT TO INDIA</t>
  </si>
  <si>
    <t>FREIGHT FROM INDIA</t>
  </si>
  <si>
    <t>AIR ASIA X</t>
  </si>
  <si>
    <t>P-Provisional</t>
  </si>
  <si>
    <t>SRILANKAN AIRWAYS</t>
  </si>
  <si>
    <t>Note: 1. This table does not include the passengers and freight carried by domestic carriers entirely outside the Indian territory.</t>
  </si>
  <si>
    <t>SCOOT TIGER AIR</t>
  </si>
  <si>
    <t>FLYNAS</t>
  </si>
  <si>
    <t>SL. No.</t>
  </si>
  <si>
    <t>APRIL</t>
  </si>
  <si>
    <t>MAY</t>
  </si>
  <si>
    <t>JUNE</t>
  </si>
  <si>
    <t xml:space="preserve">CHINA SOUTHERN </t>
  </si>
  <si>
    <t>EMIRATES AIRLINE</t>
  </si>
  <si>
    <t>ETHIOPIAN AIRLINES</t>
  </si>
  <si>
    <t>GULF AIR</t>
  </si>
  <si>
    <t>SWISS AIR</t>
  </si>
  <si>
    <t>AIR INDIA EXPRESS</t>
  </si>
  <si>
    <t>BLUE DART AVIATION</t>
  </si>
  <si>
    <t>GO AIR</t>
  </si>
  <si>
    <t>INDIGO</t>
  </si>
  <si>
    <t>SPICEJET</t>
  </si>
  <si>
    <t>VISTARA AIRLINES</t>
  </si>
  <si>
    <t>TABLE 2. AIRLINEWISE MONTHLY INTERNATIONAL TRAFFIC STATISTICS FOR THE QUARTER APR-JUNE 2020 (P)</t>
  </si>
  <si>
    <t>AIR ASTANA</t>
  </si>
  <si>
    <t>AIR SEYCHELLES</t>
  </si>
  <si>
    <t>KAM AIR</t>
  </si>
  <si>
    <t>Note: 2. In wake of Covid-19 all International scheduled operations carried by Indian carriers have been suspended as per DGCA's Circular dated 26-03-2020.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</si>
</sst>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164" fontId="2" fillId="0" borderId="0" xfId="0" applyNumberFormat="1" applyFont="1" applyFill="1" applyBorder="1" applyAlignment="1">
      <alignment vertical="center"/>
    </xf>
    <xf numFmtId="0" fontId="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vertical="top"/>
    </xf>
    <xf numFmtId="164" fontId="9" fillId="0" borderId="1" xfId="0" applyNumberFormat="1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164" fontId="9" fillId="0" borderId="1" xfId="0" applyNumberFormat="1" applyFont="1" applyFill="1" applyBorder="1" applyAlignment="1">
      <alignment vertical="top"/>
    </xf>
    <xf numFmtId="0" fontId="9" fillId="0" borderId="1" xfId="0" applyFont="1" applyFill="1" applyBorder="1" applyAlignment="1">
      <alignment vertical="top"/>
    </xf>
    <xf numFmtId="0" fontId="10" fillId="4" borderId="1" xfId="0" applyFont="1" applyFill="1" applyBorder="1" applyAlignment="1">
      <alignment horizontal="right" vertical="center"/>
    </xf>
    <xf numFmtId="164" fontId="10" fillId="4" borderId="1" xfId="0" applyNumberFormat="1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vertical="center"/>
    </xf>
    <xf numFmtId="164" fontId="8" fillId="4" borderId="1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164" fontId="8" fillId="3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"/>
  <sheetViews>
    <sheetView tabSelected="1" view="pageBreakPreview" zoomScale="70" zoomScaleSheetLayoutView="70" workbookViewId="0">
      <selection activeCell="F68" sqref="F68"/>
    </sheetView>
  </sheetViews>
  <sheetFormatPr defaultRowHeight="15" x14ac:dyDescent="0.25"/>
  <cols>
    <col min="1" max="1" width="9" customWidth="1"/>
    <col min="2" max="2" width="35.85546875" style="3" customWidth="1"/>
    <col min="3" max="14" width="16.7109375" customWidth="1"/>
    <col min="15" max="25" width="12.42578125" customWidth="1"/>
  </cols>
  <sheetData>
    <row r="1" spans="1:14" ht="40.5" customHeight="1" x14ac:dyDescent="0.25">
      <c r="A1" s="31" t="s">
        <v>67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s="1" customFormat="1" ht="25.5" customHeight="1" x14ac:dyDescent="0.25">
      <c r="A2" s="32" t="s">
        <v>41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1" customHeight="1" x14ac:dyDescent="0.25">
      <c r="A3" s="33" t="s">
        <v>52</v>
      </c>
      <c r="B3" s="34" t="s">
        <v>0</v>
      </c>
      <c r="C3" s="33" t="s">
        <v>53</v>
      </c>
      <c r="D3" s="33"/>
      <c r="E3" s="33"/>
      <c r="F3" s="33"/>
      <c r="G3" s="33" t="s">
        <v>54</v>
      </c>
      <c r="H3" s="33"/>
      <c r="I3" s="33"/>
      <c r="J3" s="33"/>
      <c r="K3" s="33" t="s">
        <v>55</v>
      </c>
      <c r="L3" s="33"/>
      <c r="M3" s="33"/>
      <c r="N3" s="33"/>
    </row>
    <row r="4" spans="1:14" ht="42" customHeight="1" x14ac:dyDescent="0.25">
      <c r="A4" s="33"/>
      <c r="B4" s="34"/>
      <c r="C4" s="6" t="s">
        <v>42</v>
      </c>
      <c r="D4" s="6" t="s">
        <v>43</v>
      </c>
      <c r="E4" s="6" t="s">
        <v>44</v>
      </c>
      <c r="F4" s="6" t="s">
        <v>45</v>
      </c>
      <c r="G4" s="6" t="s">
        <v>42</v>
      </c>
      <c r="H4" s="6" t="s">
        <v>43</v>
      </c>
      <c r="I4" s="6" t="s">
        <v>44</v>
      </c>
      <c r="J4" s="6" t="s">
        <v>45</v>
      </c>
      <c r="K4" s="6" t="s">
        <v>42</v>
      </c>
      <c r="L4" s="6" t="s">
        <v>43</v>
      </c>
      <c r="M4" s="6" t="s">
        <v>44</v>
      </c>
      <c r="N4" s="6" t="s">
        <v>45</v>
      </c>
    </row>
    <row r="5" spans="1:14" ht="27" customHeight="1" x14ac:dyDescent="0.25">
      <c r="A5" s="25" t="s">
        <v>1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1:14" ht="27" customHeight="1" x14ac:dyDescent="0.25">
      <c r="A6" s="7">
        <v>1</v>
      </c>
      <c r="B6" s="8" t="s">
        <v>2</v>
      </c>
      <c r="C6" s="9">
        <v>0</v>
      </c>
      <c r="D6" s="9">
        <v>3505</v>
      </c>
      <c r="E6" s="10">
        <v>741.77830000000006</v>
      </c>
      <c r="F6" s="10">
        <v>97.386499999999998</v>
      </c>
      <c r="G6" s="9">
        <v>27507</v>
      </c>
      <c r="H6" s="9">
        <v>11893</v>
      </c>
      <c r="I6" s="10">
        <v>1111.0364000000002</v>
      </c>
      <c r="J6" s="10">
        <v>387.86619999999988</v>
      </c>
      <c r="K6" s="9">
        <v>66419</v>
      </c>
      <c r="L6" s="9">
        <v>43909</v>
      </c>
      <c r="M6" s="10">
        <v>651.88450000000012</v>
      </c>
      <c r="N6" s="10">
        <v>915.96630000000005</v>
      </c>
    </row>
    <row r="7" spans="1:14" ht="27" customHeight="1" x14ac:dyDescent="0.25">
      <c r="A7" s="7">
        <v>2</v>
      </c>
      <c r="B7" s="11" t="s">
        <v>61</v>
      </c>
      <c r="C7" s="9">
        <v>0</v>
      </c>
      <c r="D7" s="9">
        <v>0</v>
      </c>
      <c r="E7" s="12">
        <v>0</v>
      </c>
      <c r="F7" s="12">
        <v>20.86</v>
      </c>
      <c r="G7" s="9">
        <v>20738</v>
      </c>
      <c r="H7" s="9">
        <v>740</v>
      </c>
      <c r="I7" s="10">
        <v>4.3879999999999999</v>
      </c>
      <c r="J7" s="10">
        <v>249.833</v>
      </c>
      <c r="K7" s="9">
        <v>40605</v>
      </c>
      <c r="L7" s="9">
        <v>4041</v>
      </c>
      <c r="M7" s="10">
        <v>10.951000000000001</v>
      </c>
      <c r="N7" s="10">
        <v>805.851</v>
      </c>
    </row>
    <row r="8" spans="1:14" ht="27" customHeight="1" x14ac:dyDescent="0.25">
      <c r="A8" s="7">
        <v>3</v>
      </c>
      <c r="B8" s="8" t="s">
        <v>62</v>
      </c>
      <c r="C8" s="9">
        <v>0</v>
      </c>
      <c r="D8" s="9">
        <v>0</v>
      </c>
      <c r="E8" s="10">
        <v>134.536</v>
      </c>
      <c r="F8" s="10">
        <v>71.028000000000006</v>
      </c>
      <c r="G8" s="9">
        <v>0</v>
      </c>
      <c r="H8" s="9">
        <v>0</v>
      </c>
      <c r="I8" s="10">
        <v>557.77099999999996</v>
      </c>
      <c r="J8" s="10">
        <v>40.686</v>
      </c>
      <c r="K8" s="13">
        <v>0</v>
      </c>
      <c r="L8" s="13">
        <v>0</v>
      </c>
      <c r="M8" s="12">
        <v>536.14400000000001</v>
      </c>
      <c r="N8" s="12">
        <v>26.535</v>
      </c>
    </row>
    <row r="9" spans="1:14" ht="27" customHeight="1" x14ac:dyDescent="0.25">
      <c r="A9" s="7">
        <v>4</v>
      </c>
      <c r="B9" s="8" t="s">
        <v>63</v>
      </c>
      <c r="C9" s="9">
        <v>0</v>
      </c>
      <c r="D9" s="9">
        <v>0</v>
      </c>
      <c r="E9" s="10">
        <v>0</v>
      </c>
      <c r="F9" s="10">
        <v>0</v>
      </c>
      <c r="G9" s="9">
        <v>0</v>
      </c>
      <c r="H9" s="9">
        <v>0</v>
      </c>
      <c r="I9" s="10">
        <v>0</v>
      </c>
      <c r="J9" s="10">
        <v>0</v>
      </c>
      <c r="K9" s="9">
        <v>10153</v>
      </c>
      <c r="L9" s="9">
        <v>0</v>
      </c>
      <c r="M9" s="10">
        <v>0</v>
      </c>
      <c r="N9" s="10">
        <v>0</v>
      </c>
    </row>
    <row r="10" spans="1:14" ht="27" customHeight="1" x14ac:dyDescent="0.25">
      <c r="A10" s="7">
        <v>5</v>
      </c>
      <c r="B10" s="8" t="s">
        <v>64</v>
      </c>
      <c r="C10" s="9">
        <v>0</v>
      </c>
      <c r="D10" s="9">
        <v>0</v>
      </c>
      <c r="E10" s="10">
        <v>0</v>
      </c>
      <c r="F10" s="10">
        <v>0</v>
      </c>
      <c r="G10" s="9">
        <v>0</v>
      </c>
      <c r="H10" s="9">
        <v>0</v>
      </c>
      <c r="I10" s="10">
        <v>0</v>
      </c>
      <c r="J10" s="10">
        <v>0</v>
      </c>
      <c r="K10" s="9">
        <v>36838</v>
      </c>
      <c r="L10" s="9">
        <v>3312</v>
      </c>
      <c r="M10" s="10">
        <v>0</v>
      </c>
      <c r="N10" s="10">
        <v>1.669</v>
      </c>
    </row>
    <row r="11" spans="1:14" ht="27" customHeight="1" x14ac:dyDescent="0.25">
      <c r="A11" s="7">
        <v>6</v>
      </c>
      <c r="B11" s="8" t="s">
        <v>65</v>
      </c>
      <c r="C11" s="9">
        <v>0</v>
      </c>
      <c r="D11" s="9">
        <v>0</v>
      </c>
      <c r="E11" s="10">
        <v>604.2373</v>
      </c>
      <c r="F11" s="10">
        <v>900.89516999999989</v>
      </c>
      <c r="G11" s="9">
        <v>15</v>
      </c>
      <c r="H11" s="9">
        <v>272</v>
      </c>
      <c r="I11" s="10">
        <v>1101.8479</v>
      </c>
      <c r="J11" s="10">
        <v>2564.5973000000004</v>
      </c>
      <c r="K11" s="9">
        <v>27101</v>
      </c>
      <c r="L11" s="9">
        <v>875</v>
      </c>
      <c r="M11" s="10">
        <v>549.78291000000002</v>
      </c>
      <c r="N11" s="10">
        <v>3215.2213099999994</v>
      </c>
    </row>
    <row r="12" spans="1:14" s="5" customFormat="1" ht="19.5" customHeight="1" x14ac:dyDescent="0.3">
      <c r="A12" s="7">
        <v>7</v>
      </c>
      <c r="B12" s="11" t="s">
        <v>66</v>
      </c>
      <c r="C12" s="9">
        <v>0</v>
      </c>
      <c r="D12" s="9">
        <v>0</v>
      </c>
      <c r="E12" s="12">
        <v>0</v>
      </c>
      <c r="F12" s="12">
        <v>0</v>
      </c>
      <c r="G12" s="9">
        <v>0</v>
      </c>
      <c r="H12" s="9">
        <v>0</v>
      </c>
      <c r="I12" s="10">
        <v>0</v>
      </c>
      <c r="J12" s="10">
        <v>0</v>
      </c>
      <c r="K12" s="9">
        <v>306</v>
      </c>
      <c r="L12" s="9">
        <v>51</v>
      </c>
      <c r="M12" s="10">
        <v>0</v>
      </c>
      <c r="N12" s="10">
        <v>0</v>
      </c>
    </row>
    <row r="13" spans="1:14" ht="31.5" customHeight="1" x14ac:dyDescent="0.25">
      <c r="A13" s="26" t="s">
        <v>3</v>
      </c>
      <c r="B13" s="26"/>
      <c r="C13" s="14">
        <f t="shared" ref="C13:N13" si="0">SUM(C6:C12)</f>
        <v>0</v>
      </c>
      <c r="D13" s="14">
        <f t="shared" si="0"/>
        <v>3505</v>
      </c>
      <c r="E13" s="15">
        <f t="shared" si="0"/>
        <v>1480.5516</v>
      </c>
      <c r="F13" s="15">
        <f t="shared" si="0"/>
        <v>1090.1696699999998</v>
      </c>
      <c r="G13" s="14">
        <f t="shared" si="0"/>
        <v>48260</v>
      </c>
      <c r="H13" s="14">
        <f t="shared" si="0"/>
        <v>12905</v>
      </c>
      <c r="I13" s="15">
        <f t="shared" si="0"/>
        <v>2775.0433000000003</v>
      </c>
      <c r="J13" s="15">
        <f t="shared" si="0"/>
        <v>3242.9825000000001</v>
      </c>
      <c r="K13" s="14">
        <f t="shared" si="0"/>
        <v>181422</v>
      </c>
      <c r="L13" s="14">
        <f t="shared" si="0"/>
        <v>52188</v>
      </c>
      <c r="M13" s="15">
        <f t="shared" si="0"/>
        <v>1748.7624100000003</v>
      </c>
      <c r="N13" s="15">
        <f t="shared" si="0"/>
        <v>4965.2426099999993</v>
      </c>
    </row>
    <row r="14" spans="1:14" ht="28.5" customHeight="1" x14ac:dyDescent="0.25">
      <c r="A14" s="27" t="s">
        <v>4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1:14" ht="24.75" customHeight="1" x14ac:dyDescent="0.25">
      <c r="A15" s="7">
        <v>1</v>
      </c>
      <c r="B15" s="8" t="s">
        <v>5</v>
      </c>
      <c r="C15" s="9">
        <v>0</v>
      </c>
      <c r="D15" s="9">
        <v>403</v>
      </c>
      <c r="E15" s="10">
        <v>0</v>
      </c>
      <c r="F15" s="10">
        <v>0</v>
      </c>
      <c r="G15" s="9">
        <v>0</v>
      </c>
      <c r="H15" s="9">
        <v>277</v>
      </c>
      <c r="I15" s="10">
        <v>0</v>
      </c>
      <c r="J15" s="10">
        <v>8.2309999999999999</v>
      </c>
      <c r="K15" s="9">
        <v>364</v>
      </c>
      <c r="L15" s="9">
        <v>354</v>
      </c>
      <c r="M15" s="10">
        <v>0</v>
      </c>
      <c r="N15" s="10">
        <v>20.724</v>
      </c>
    </row>
    <row r="16" spans="1:14" ht="31.5" customHeight="1" x14ac:dyDescent="0.25">
      <c r="A16" s="7">
        <v>2</v>
      </c>
      <c r="B16" s="11" t="s">
        <v>6</v>
      </c>
      <c r="C16" s="9">
        <v>0</v>
      </c>
      <c r="D16" s="9">
        <v>0</v>
      </c>
      <c r="E16" s="12">
        <v>886.947</v>
      </c>
      <c r="F16" s="12">
        <v>612.47500000000002</v>
      </c>
      <c r="G16" s="9">
        <v>0</v>
      </c>
      <c r="H16" s="9">
        <v>0</v>
      </c>
      <c r="I16" s="10">
        <v>3338.7939999999999</v>
      </c>
      <c r="J16" s="10">
        <v>3057.07</v>
      </c>
      <c r="K16" s="9">
        <v>0</v>
      </c>
      <c r="L16" s="9">
        <v>0</v>
      </c>
      <c r="M16" s="10">
        <v>6491.6310000000003</v>
      </c>
      <c r="N16" s="10">
        <v>6733.5889999999999</v>
      </c>
    </row>
    <row r="17" spans="1:15" ht="31.5" customHeight="1" x14ac:dyDescent="0.25">
      <c r="A17" s="7">
        <v>3</v>
      </c>
      <c r="B17" s="8" t="s">
        <v>7</v>
      </c>
      <c r="C17" s="9">
        <v>0</v>
      </c>
      <c r="D17" s="9">
        <v>123</v>
      </c>
      <c r="E17" s="10">
        <v>0</v>
      </c>
      <c r="F17" s="10">
        <v>0</v>
      </c>
      <c r="G17" s="9">
        <v>0</v>
      </c>
      <c r="H17" s="9">
        <v>0</v>
      </c>
      <c r="I17" s="10">
        <v>0</v>
      </c>
      <c r="J17" s="10">
        <v>0</v>
      </c>
      <c r="K17" s="13">
        <v>23830</v>
      </c>
      <c r="L17" s="13">
        <v>0</v>
      </c>
      <c r="M17" s="12">
        <v>23.338000000000001</v>
      </c>
      <c r="N17" s="12">
        <v>171.41200000000001</v>
      </c>
    </row>
    <row r="18" spans="1:15" ht="31.5" customHeight="1" x14ac:dyDescent="0.25">
      <c r="A18" s="7">
        <v>4</v>
      </c>
      <c r="B18" s="8" t="s">
        <v>46</v>
      </c>
      <c r="C18" s="9">
        <v>0</v>
      </c>
      <c r="D18" s="9">
        <v>0</v>
      </c>
      <c r="E18" s="10">
        <v>0</v>
      </c>
      <c r="F18" s="10">
        <v>0</v>
      </c>
      <c r="G18" s="9">
        <v>0</v>
      </c>
      <c r="H18" s="9">
        <v>0</v>
      </c>
      <c r="I18" s="10">
        <v>0.378</v>
      </c>
      <c r="J18" s="10">
        <v>66.524000000000001</v>
      </c>
      <c r="K18" s="9">
        <v>0</v>
      </c>
      <c r="L18" s="9">
        <v>0</v>
      </c>
      <c r="M18" s="10">
        <v>30.172999999999998</v>
      </c>
      <c r="N18" s="10">
        <v>79.581000000000003</v>
      </c>
      <c r="O18" s="4"/>
    </row>
    <row r="19" spans="1:15" ht="31.5" customHeight="1" x14ac:dyDescent="0.25">
      <c r="A19" s="7">
        <v>5</v>
      </c>
      <c r="B19" s="8" t="s">
        <v>68</v>
      </c>
      <c r="C19" s="9">
        <v>0</v>
      </c>
      <c r="D19" s="9">
        <v>0</v>
      </c>
      <c r="E19" s="10">
        <v>0</v>
      </c>
      <c r="F19" s="10">
        <v>0</v>
      </c>
      <c r="G19" s="9">
        <v>0</v>
      </c>
      <c r="H19" s="9">
        <v>0</v>
      </c>
      <c r="I19" s="10">
        <v>0</v>
      </c>
      <c r="J19" s="10">
        <v>0</v>
      </c>
      <c r="K19" s="9">
        <v>1323</v>
      </c>
      <c r="L19" s="9">
        <v>0</v>
      </c>
      <c r="M19" s="10">
        <v>0</v>
      </c>
      <c r="N19" s="10">
        <v>1.125</v>
      </c>
    </row>
    <row r="20" spans="1:15" ht="31.5" customHeight="1" x14ac:dyDescent="0.25">
      <c r="A20" s="7">
        <v>6</v>
      </c>
      <c r="B20" s="8" t="s">
        <v>69</v>
      </c>
      <c r="C20" s="13">
        <v>0</v>
      </c>
      <c r="D20" s="13">
        <v>0</v>
      </c>
      <c r="E20" s="10">
        <v>1.1379999999999999</v>
      </c>
      <c r="F20" s="10">
        <v>13.696999999999999</v>
      </c>
      <c r="G20" s="9">
        <v>0</v>
      </c>
      <c r="H20" s="9">
        <v>0</v>
      </c>
      <c r="I20" s="10">
        <v>0</v>
      </c>
      <c r="J20" s="10">
        <v>10.752000000000001</v>
      </c>
      <c r="K20" s="9">
        <v>0</v>
      </c>
      <c r="L20" s="9">
        <v>0</v>
      </c>
      <c r="M20" s="10">
        <v>0</v>
      </c>
      <c r="N20" s="10">
        <v>15.798</v>
      </c>
    </row>
    <row r="21" spans="1:15" s="2" customFormat="1" ht="27.95" customHeight="1" x14ac:dyDescent="0.25">
      <c r="A21" s="7">
        <v>7</v>
      </c>
      <c r="B21" s="16" t="s">
        <v>8</v>
      </c>
      <c r="C21" s="13">
        <v>0</v>
      </c>
      <c r="D21" s="13">
        <v>496</v>
      </c>
      <c r="E21" s="10">
        <v>0</v>
      </c>
      <c r="F21" s="10">
        <v>0</v>
      </c>
      <c r="G21" s="9">
        <v>0</v>
      </c>
      <c r="H21" s="9">
        <v>111</v>
      </c>
      <c r="I21" s="10">
        <v>0.44</v>
      </c>
      <c r="J21" s="10">
        <v>23.803999999999998</v>
      </c>
      <c r="K21" s="9">
        <v>0</v>
      </c>
      <c r="L21" s="9">
        <v>0</v>
      </c>
      <c r="M21" s="10">
        <v>0</v>
      </c>
      <c r="N21" s="10">
        <v>0</v>
      </c>
    </row>
    <row r="22" spans="1:15" s="2" customFormat="1" ht="27.95" customHeight="1" x14ac:dyDescent="0.25">
      <c r="A22" s="7">
        <v>8</v>
      </c>
      <c r="B22" s="11" t="s">
        <v>9</v>
      </c>
      <c r="C22" s="9">
        <v>0</v>
      </c>
      <c r="D22" s="9">
        <v>1749</v>
      </c>
      <c r="E22" s="10">
        <v>0</v>
      </c>
      <c r="F22" s="10">
        <v>8.1509999999999998</v>
      </c>
      <c r="G22" s="13">
        <v>53</v>
      </c>
      <c r="H22" s="13">
        <v>691</v>
      </c>
      <c r="I22" s="12">
        <v>0</v>
      </c>
      <c r="J22" s="12">
        <v>44.48</v>
      </c>
      <c r="K22" s="13">
        <v>1</v>
      </c>
      <c r="L22" s="13">
        <v>373</v>
      </c>
      <c r="M22" s="12">
        <v>36.572000000000003</v>
      </c>
      <c r="N22" s="12">
        <v>139.584</v>
      </c>
    </row>
    <row r="23" spans="1:15" s="2" customFormat="1" ht="27.95" customHeight="1" x14ac:dyDescent="0.25">
      <c r="A23" s="7">
        <v>9</v>
      </c>
      <c r="B23" s="8" t="s">
        <v>10</v>
      </c>
      <c r="C23" s="9">
        <v>0</v>
      </c>
      <c r="D23" s="9">
        <v>162</v>
      </c>
      <c r="E23" s="10">
        <v>0.73499999999999999</v>
      </c>
      <c r="F23" s="10">
        <v>0.15</v>
      </c>
      <c r="G23" s="9">
        <v>88</v>
      </c>
      <c r="H23" s="9">
        <v>702</v>
      </c>
      <c r="I23" s="10">
        <v>0.15</v>
      </c>
      <c r="J23" s="10">
        <v>7.3220000000000001</v>
      </c>
      <c r="K23" s="9">
        <v>25</v>
      </c>
      <c r="L23" s="9">
        <v>162</v>
      </c>
      <c r="M23" s="10">
        <v>9.8620000000000001</v>
      </c>
      <c r="N23" s="10">
        <v>10.965</v>
      </c>
    </row>
    <row r="24" spans="1:15" s="2" customFormat="1" ht="27.75" customHeight="1" x14ac:dyDescent="0.25">
      <c r="A24" s="7">
        <v>10</v>
      </c>
      <c r="B24" s="8" t="s">
        <v>11</v>
      </c>
      <c r="C24" s="9">
        <v>0</v>
      </c>
      <c r="D24" s="9">
        <v>0</v>
      </c>
      <c r="E24" s="10">
        <v>65.340999999999994</v>
      </c>
      <c r="F24" s="10">
        <v>22.716999999999999</v>
      </c>
      <c r="G24" s="9">
        <v>0</v>
      </c>
      <c r="H24" s="9">
        <v>0</v>
      </c>
      <c r="I24" s="10">
        <v>3588.4509000000003</v>
      </c>
      <c r="J24" s="10">
        <v>2036.7143000000001</v>
      </c>
      <c r="K24" s="9">
        <v>0</v>
      </c>
      <c r="L24" s="9">
        <v>0</v>
      </c>
      <c r="M24" s="10">
        <v>4527.5098000000007</v>
      </c>
      <c r="N24" s="10">
        <v>4017.2190300000002</v>
      </c>
    </row>
    <row r="25" spans="1:15" s="2" customFormat="1" ht="27.75" customHeight="1" x14ac:dyDescent="0.25">
      <c r="A25" s="7">
        <v>11</v>
      </c>
      <c r="B25" s="8" t="s">
        <v>12</v>
      </c>
      <c r="C25" s="9">
        <v>0</v>
      </c>
      <c r="D25" s="9">
        <v>0</v>
      </c>
      <c r="E25" s="10">
        <v>0</v>
      </c>
      <c r="F25" s="10">
        <v>0</v>
      </c>
      <c r="G25" s="9">
        <v>0</v>
      </c>
      <c r="H25" s="9">
        <v>0</v>
      </c>
      <c r="I25" s="10">
        <v>0</v>
      </c>
      <c r="J25" s="10">
        <v>0</v>
      </c>
      <c r="K25" s="9">
        <v>0</v>
      </c>
      <c r="L25" s="9">
        <v>0</v>
      </c>
      <c r="M25" s="10">
        <v>206.72300000000001</v>
      </c>
      <c r="N25" s="10">
        <v>276.56299999999999</v>
      </c>
    </row>
    <row r="26" spans="1:15" s="2" customFormat="1" ht="27.75" customHeight="1" x14ac:dyDescent="0.25">
      <c r="A26" s="7">
        <v>12</v>
      </c>
      <c r="B26" s="16" t="s">
        <v>13</v>
      </c>
      <c r="C26" s="13">
        <v>0</v>
      </c>
      <c r="D26" s="13">
        <v>0</v>
      </c>
      <c r="E26" s="10">
        <v>0</v>
      </c>
      <c r="F26" s="10">
        <v>0</v>
      </c>
      <c r="G26" s="9">
        <v>0</v>
      </c>
      <c r="H26" s="9">
        <v>0</v>
      </c>
      <c r="I26" s="10">
        <v>0</v>
      </c>
      <c r="J26" s="10">
        <v>0</v>
      </c>
      <c r="K26" s="9">
        <v>0</v>
      </c>
      <c r="L26" s="9">
        <v>646</v>
      </c>
      <c r="M26" s="10">
        <v>92.265199999999993</v>
      </c>
      <c r="N26" s="10">
        <v>81.757000000000005</v>
      </c>
    </row>
    <row r="27" spans="1:15" s="2" customFormat="1" ht="27.75" customHeight="1" x14ac:dyDescent="0.25">
      <c r="A27" s="7">
        <v>13</v>
      </c>
      <c r="B27" s="8" t="s">
        <v>56</v>
      </c>
      <c r="C27" s="9">
        <v>0</v>
      </c>
      <c r="D27" s="9">
        <v>0</v>
      </c>
      <c r="E27" s="10">
        <v>0</v>
      </c>
      <c r="F27" s="10">
        <v>0</v>
      </c>
      <c r="G27" s="9">
        <v>0</v>
      </c>
      <c r="H27" s="9">
        <v>0</v>
      </c>
      <c r="I27" s="10">
        <v>67.182000000000002</v>
      </c>
      <c r="J27" s="10">
        <v>73.605000000000004</v>
      </c>
      <c r="K27" s="9">
        <v>0</v>
      </c>
      <c r="L27" s="9">
        <v>302</v>
      </c>
      <c r="M27" s="10">
        <v>64.055999999999997</v>
      </c>
      <c r="N27" s="10">
        <v>29.12</v>
      </c>
    </row>
    <row r="28" spans="1:15" s="2" customFormat="1" ht="27.75" customHeight="1" x14ac:dyDescent="0.25">
      <c r="A28" s="7">
        <v>14</v>
      </c>
      <c r="B28" s="8" t="s">
        <v>14</v>
      </c>
      <c r="C28" s="9">
        <v>0</v>
      </c>
      <c r="D28" s="9">
        <v>0</v>
      </c>
      <c r="E28" s="10">
        <v>0</v>
      </c>
      <c r="F28" s="10">
        <v>0</v>
      </c>
      <c r="G28" s="9">
        <v>0</v>
      </c>
      <c r="H28" s="9">
        <v>0</v>
      </c>
      <c r="I28" s="10">
        <v>0</v>
      </c>
      <c r="J28" s="10">
        <v>0</v>
      </c>
      <c r="K28" s="9">
        <v>0</v>
      </c>
      <c r="L28" s="9">
        <v>0</v>
      </c>
      <c r="M28" s="10">
        <v>19.076000000000001</v>
      </c>
      <c r="N28" s="10">
        <v>31.202999999999999</v>
      </c>
    </row>
    <row r="29" spans="1:15" s="2" customFormat="1" ht="27.75" customHeight="1" x14ac:dyDescent="0.25">
      <c r="A29" s="7">
        <v>15</v>
      </c>
      <c r="B29" s="8" t="s">
        <v>15</v>
      </c>
      <c r="C29" s="9">
        <v>9</v>
      </c>
      <c r="D29" s="9">
        <v>50</v>
      </c>
      <c r="E29" s="10">
        <v>0</v>
      </c>
      <c r="F29" s="10">
        <v>0</v>
      </c>
      <c r="G29" s="9">
        <v>0</v>
      </c>
      <c r="H29" s="9">
        <v>28</v>
      </c>
      <c r="I29" s="10">
        <v>0</v>
      </c>
      <c r="J29" s="10">
        <v>7.4999999999999997E-3</v>
      </c>
      <c r="K29" s="9"/>
      <c r="L29" s="9"/>
      <c r="M29" s="10">
        <v>0</v>
      </c>
      <c r="N29" s="10">
        <v>0</v>
      </c>
    </row>
    <row r="30" spans="1:15" s="2" customFormat="1" ht="27.75" customHeight="1" x14ac:dyDescent="0.25">
      <c r="A30" s="7">
        <v>16</v>
      </c>
      <c r="B30" s="8" t="s">
        <v>16</v>
      </c>
      <c r="C30" s="9">
        <v>0</v>
      </c>
      <c r="D30" s="9">
        <v>0</v>
      </c>
      <c r="E30" s="10">
        <v>1.516</v>
      </c>
      <c r="F30" s="10">
        <v>34.177999999999997</v>
      </c>
      <c r="G30" s="9">
        <v>52</v>
      </c>
      <c r="H30" s="9">
        <v>0</v>
      </c>
      <c r="I30" s="10">
        <v>55.317</v>
      </c>
      <c r="J30" s="10">
        <v>63.908999999999999</v>
      </c>
      <c r="K30" s="9">
        <v>0</v>
      </c>
      <c r="L30" s="9">
        <v>163</v>
      </c>
      <c r="M30" s="10">
        <v>54.93</v>
      </c>
      <c r="N30" s="10">
        <v>66.668000000000006</v>
      </c>
    </row>
    <row r="31" spans="1:15" s="2" customFormat="1" ht="27.75" customHeight="1" x14ac:dyDescent="0.25">
      <c r="A31" s="7">
        <v>17</v>
      </c>
      <c r="B31" s="8" t="s">
        <v>57</v>
      </c>
      <c r="C31" s="9">
        <v>0</v>
      </c>
      <c r="D31" s="9">
        <v>0</v>
      </c>
      <c r="E31" s="10">
        <v>0</v>
      </c>
      <c r="F31" s="10">
        <v>0</v>
      </c>
      <c r="G31" s="9">
        <v>0</v>
      </c>
      <c r="H31" s="9">
        <v>0</v>
      </c>
      <c r="I31" s="10">
        <v>0</v>
      </c>
      <c r="J31" s="10">
        <v>0</v>
      </c>
      <c r="K31" s="9">
        <v>4315</v>
      </c>
      <c r="L31" s="9">
        <v>231</v>
      </c>
      <c r="M31" s="10">
        <v>111.005</v>
      </c>
      <c r="N31" s="10">
        <v>423.91154</v>
      </c>
    </row>
    <row r="32" spans="1:15" s="2" customFormat="1" ht="27.75" customHeight="1" x14ac:dyDescent="0.25">
      <c r="A32" s="7">
        <v>18</v>
      </c>
      <c r="B32" s="8" t="s">
        <v>58</v>
      </c>
      <c r="C32" s="9">
        <v>0</v>
      </c>
      <c r="D32" s="9">
        <v>0</v>
      </c>
      <c r="E32" s="10">
        <v>0</v>
      </c>
      <c r="F32" s="10">
        <v>0</v>
      </c>
      <c r="G32" s="9">
        <v>0</v>
      </c>
      <c r="H32" s="9">
        <v>0</v>
      </c>
      <c r="I32" s="10">
        <v>25.24</v>
      </c>
      <c r="J32" s="10">
        <v>133.24100000000001</v>
      </c>
      <c r="K32" s="13">
        <v>987</v>
      </c>
      <c r="L32" s="13">
        <v>4</v>
      </c>
      <c r="M32" s="12">
        <v>21.009</v>
      </c>
      <c r="N32" s="12">
        <v>44.344999999999999</v>
      </c>
    </row>
    <row r="33" spans="1:14" s="2" customFormat="1" ht="27.75" customHeight="1" x14ac:dyDescent="0.25">
      <c r="A33" s="7">
        <v>19</v>
      </c>
      <c r="B33" s="8" t="s">
        <v>17</v>
      </c>
      <c r="C33" s="9">
        <v>0</v>
      </c>
      <c r="D33" s="9">
        <v>0</v>
      </c>
      <c r="E33" s="10">
        <v>0</v>
      </c>
      <c r="F33" s="10">
        <v>0</v>
      </c>
      <c r="G33" s="9">
        <v>356</v>
      </c>
      <c r="H33" s="9">
        <v>107</v>
      </c>
      <c r="I33" s="10">
        <v>7.8723999999999998</v>
      </c>
      <c r="J33" s="10">
        <v>251.29750000000001</v>
      </c>
      <c r="K33" s="9">
        <v>2187</v>
      </c>
      <c r="L33" s="9">
        <v>0</v>
      </c>
      <c r="M33" s="10">
        <v>469.61109999999996</v>
      </c>
      <c r="N33" s="10">
        <v>1638.2535</v>
      </c>
    </row>
    <row r="34" spans="1:14" s="2" customFormat="1" ht="27.75" customHeight="1" x14ac:dyDescent="0.25">
      <c r="A34" s="7">
        <v>20</v>
      </c>
      <c r="B34" s="8" t="s">
        <v>18</v>
      </c>
      <c r="C34" s="9">
        <v>0</v>
      </c>
      <c r="D34" s="9">
        <v>0</v>
      </c>
      <c r="E34" s="10">
        <v>644.88800000000003</v>
      </c>
      <c r="F34" s="10">
        <v>1887.395</v>
      </c>
      <c r="G34" s="13">
        <v>0</v>
      </c>
      <c r="H34" s="13">
        <v>0</v>
      </c>
      <c r="I34" s="10">
        <v>1157.954</v>
      </c>
      <c r="J34" s="10">
        <v>2574.998</v>
      </c>
      <c r="K34" s="9">
        <v>0</v>
      </c>
      <c r="L34" s="9">
        <v>0</v>
      </c>
      <c r="M34" s="10">
        <v>1160.4760000000001</v>
      </c>
      <c r="N34" s="10">
        <v>3763.1556</v>
      </c>
    </row>
    <row r="35" spans="1:14" s="2" customFormat="1" ht="27.75" customHeight="1" x14ac:dyDescent="0.25">
      <c r="A35" s="7">
        <v>21</v>
      </c>
      <c r="B35" s="8" t="s">
        <v>51</v>
      </c>
      <c r="C35" s="9">
        <v>0</v>
      </c>
      <c r="D35" s="9">
        <v>0</v>
      </c>
      <c r="E35" s="10">
        <v>0</v>
      </c>
      <c r="F35" s="10">
        <v>0</v>
      </c>
      <c r="G35" s="13">
        <v>0</v>
      </c>
      <c r="H35" s="13">
        <v>0</v>
      </c>
      <c r="I35" s="10">
        <v>0</v>
      </c>
      <c r="J35" s="10">
        <v>0</v>
      </c>
      <c r="K35" s="9">
        <v>1476</v>
      </c>
      <c r="L35" s="9">
        <v>0</v>
      </c>
      <c r="M35" s="10">
        <v>0</v>
      </c>
      <c r="N35" s="10">
        <v>23.419</v>
      </c>
    </row>
    <row r="36" spans="1:14" s="2" customFormat="1" ht="27.75" customHeight="1" x14ac:dyDescent="0.25">
      <c r="A36" s="7">
        <v>22</v>
      </c>
      <c r="B36" s="11" t="s">
        <v>59</v>
      </c>
      <c r="C36" s="9">
        <v>125</v>
      </c>
      <c r="D36" s="9">
        <v>167</v>
      </c>
      <c r="E36" s="10">
        <v>0.2</v>
      </c>
      <c r="F36" s="10">
        <v>229.54400000000001</v>
      </c>
      <c r="G36" s="9">
        <v>127</v>
      </c>
      <c r="H36" s="9">
        <v>173</v>
      </c>
      <c r="I36" s="10">
        <v>0</v>
      </c>
      <c r="J36" s="10">
        <v>97.784999999999997</v>
      </c>
      <c r="K36" s="9">
        <v>6642</v>
      </c>
      <c r="L36" s="9">
        <v>1</v>
      </c>
      <c r="M36" s="10">
        <v>3.3279999999999998</v>
      </c>
      <c r="N36" s="10">
        <v>132.495</v>
      </c>
    </row>
    <row r="37" spans="1:14" s="2" customFormat="1" ht="27.95" customHeight="1" x14ac:dyDescent="0.25">
      <c r="A37" s="7">
        <v>23</v>
      </c>
      <c r="B37" s="8" t="s">
        <v>19</v>
      </c>
      <c r="C37" s="9">
        <v>0</v>
      </c>
      <c r="D37" s="9">
        <v>186</v>
      </c>
      <c r="E37" s="10">
        <v>1.7000000000000001E-2</v>
      </c>
      <c r="F37" s="10">
        <v>8.7650000000000006</v>
      </c>
      <c r="G37" s="9">
        <v>0</v>
      </c>
      <c r="H37" s="9">
        <v>215</v>
      </c>
      <c r="I37" s="10">
        <v>2.7E-2</v>
      </c>
      <c r="J37" s="10">
        <v>4.282</v>
      </c>
      <c r="K37" s="9"/>
      <c r="L37" s="9"/>
      <c r="M37" s="10">
        <v>0</v>
      </c>
      <c r="N37" s="10">
        <v>0</v>
      </c>
    </row>
    <row r="38" spans="1:14" s="2" customFormat="1" ht="27.95" customHeight="1" x14ac:dyDescent="0.25">
      <c r="A38" s="7">
        <v>24</v>
      </c>
      <c r="B38" s="8" t="s">
        <v>20</v>
      </c>
      <c r="C38" s="9">
        <v>2</v>
      </c>
      <c r="D38" s="9">
        <v>938</v>
      </c>
      <c r="E38" s="10">
        <v>0</v>
      </c>
      <c r="F38" s="10">
        <v>0</v>
      </c>
      <c r="G38" s="9">
        <v>6</v>
      </c>
      <c r="H38" s="9">
        <v>141</v>
      </c>
      <c r="I38" s="10">
        <v>0</v>
      </c>
      <c r="J38" s="10">
        <v>0</v>
      </c>
      <c r="K38" s="9">
        <v>541</v>
      </c>
      <c r="L38" s="9">
        <v>98</v>
      </c>
      <c r="M38" s="10">
        <v>5.0410000000000004</v>
      </c>
      <c r="N38" s="10">
        <v>5.0410000000000004</v>
      </c>
    </row>
    <row r="39" spans="1:14" s="2" customFormat="1" ht="27.95" customHeight="1" x14ac:dyDescent="0.25">
      <c r="A39" s="7">
        <v>25</v>
      </c>
      <c r="B39" s="16" t="s">
        <v>21</v>
      </c>
      <c r="C39" s="9">
        <v>0</v>
      </c>
      <c r="D39" s="9">
        <v>554</v>
      </c>
      <c r="E39" s="10">
        <v>0</v>
      </c>
      <c r="F39" s="10">
        <v>101.002</v>
      </c>
      <c r="G39" s="13">
        <v>0</v>
      </c>
      <c r="H39" s="13">
        <v>234</v>
      </c>
      <c r="I39" s="10">
        <v>0</v>
      </c>
      <c r="J39" s="10">
        <v>141.87700000000001</v>
      </c>
      <c r="K39" s="9">
        <v>257</v>
      </c>
      <c r="L39" s="9">
        <v>85</v>
      </c>
      <c r="M39" s="10">
        <v>0.02</v>
      </c>
      <c r="N39" s="10">
        <v>101.797</v>
      </c>
    </row>
    <row r="40" spans="1:14" s="2" customFormat="1" ht="27.95" customHeight="1" x14ac:dyDescent="0.25">
      <c r="A40" s="7">
        <v>26</v>
      </c>
      <c r="B40" s="11" t="s">
        <v>22</v>
      </c>
      <c r="C40" s="9">
        <v>0</v>
      </c>
      <c r="D40" s="9">
        <v>771</v>
      </c>
      <c r="E40" s="10">
        <v>0.112</v>
      </c>
      <c r="F40" s="10">
        <v>12.776</v>
      </c>
      <c r="G40" s="9">
        <v>95</v>
      </c>
      <c r="H40" s="9">
        <v>438</v>
      </c>
      <c r="I40" s="10">
        <v>65.92</v>
      </c>
      <c r="J40" s="10">
        <v>98.872</v>
      </c>
      <c r="K40" s="9">
        <v>0</v>
      </c>
      <c r="L40" s="9">
        <v>350</v>
      </c>
      <c r="M40" s="10">
        <v>125.428</v>
      </c>
      <c r="N40" s="10">
        <v>159.62200000000001</v>
      </c>
    </row>
    <row r="41" spans="1:14" s="2" customFormat="1" ht="27.95" customHeight="1" x14ac:dyDescent="0.25">
      <c r="A41" s="7">
        <v>27</v>
      </c>
      <c r="B41" s="8" t="s">
        <v>23</v>
      </c>
      <c r="C41" s="9">
        <v>0</v>
      </c>
      <c r="D41" s="9">
        <v>0</v>
      </c>
      <c r="E41" s="10">
        <v>402.63499999999999</v>
      </c>
      <c r="F41" s="10">
        <v>260.07600000000002</v>
      </c>
      <c r="G41" s="9">
        <v>0</v>
      </c>
      <c r="H41" s="9">
        <v>0</v>
      </c>
      <c r="I41" s="10">
        <v>1087.723</v>
      </c>
      <c r="J41" s="10">
        <v>886.46699999999998</v>
      </c>
      <c r="K41" s="9">
        <v>0</v>
      </c>
      <c r="L41" s="9">
        <v>0</v>
      </c>
      <c r="M41" s="10">
        <v>69.930000000000007</v>
      </c>
      <c r="N41" s="10">
        <v>12.994</v>
      </c>
    </row>
    <row r="42" spans="1:14" s="2" customFormat="1" ht="27.95" customHeight="1" x14ac:dyDescent="0.25">
      <c r="A42" s="7">
        <v>28</v>
      </c>
      <c r="B42" s="8" t="s">
        <v>70</v>
      </c>
      <c r="C42" s="9">
        <v>2262</v>
      </c>
      <c r="D42" s="9">
        <v>4091</v>
      </c>
      <c r="E42" s="10">
        <v>0</v>
      </c>
      <c r="F42" s="10">
        <v>196.304</v>
      </c>
      <c r="G42" s="9">
        <v>503</v>
      </c>
      <c r="H42" s="9">
        <v>916</v>
      </c>
      <c r="I42" s="10">
        <v>0</v>
      </c>
      <c r="J42" s="10">
        <v>118.124</v>
      </c>
      <c r="K42" s="9">
        <v>842</v>
      </c>
      <c r="L42" s="9">
        <v>590</v>
      </c>
      <c r="M42" s="10">
        <v>0</v>
      </c>
      <c r="N42" s="10">
        <v>96.881</v>
      </c>
    </row>
    <row r="43" spans="1:14" s="2" customFormat="1" ht="27.95" customHeight="1" x14ac:dyDescent="0.25">
      <c r="A43" s="7">
        <v>29</v>
      </c>
      <c r="B43" s="8" t="s">
        <v>24</v>
      </c>
      <c r="C43" s="9">
        <v>0</v>
      </c>
      <c r="D43" s="9">
        <v>0</v>
      </c>
      <c r="E43" s="10">
        <v>0</v>
      </c>
      <c r="F43" s="10">
        <v>0</v>
      </c>
      <c r="G43" s="9">
        <v>0</v>
      </c>
      <c r="H43" s="9">
        <v>231</v>
      </c>
      <c r="I43" s="10">
        <v>0</v>
      </c>
      <c r="J43" s="10">
        <v>7.7990000000000004</v>
      </c>
      <c r="K43" s="9">
        <v>0</v>
      </c>
      <c r="L43" s="9">
        <v>99</v>
      </c>
      <c r="M43" s="12">
        <v>0</v>
      </c>
      <c r="N43" s="12">
        <v>1.33</v>
      </c>
    </row>
    <row r="44" spans="1:14" s="2" customFormat="1" ht="27.95" customHeight="1" x14ac:dyDescent="0.25">
      <c r="A44" s="7">
        <v>30</v>
      </c>
      <c r="B44" s="8" t="s">
        <v>25</v>
      </c>
      <c r="C44" s="9">
        <v>0</v>
      </c>
      <c r="D44" s="9">
        <v>380</v>
      </c>
      <c r="E44" s="10">
        <v>13.382</v>
      </c>
      <c r="F44" s="10">
        <v>15.532999999999999</v>
      </c>
      <c r="G44" s="9">
        <v>0</v>
      </c>
      <c r="H44" s="9">
        <v>242</v>
      </c>
      <c r="I44" s="10">
        <v>1.036</v>
      </c>
      <c r="J44" s="10">
        <v>6.4279999999999999</v>
      </c>
      <c r="K44" s="9">
        <v>0</v>
      </c>
      <c r="L44" s="9">
        <v>0</v>
      </c>
      <c r="M44" s="10">
        <v>40.840000000000003</v>
      </c>
      <c r="N44" s="10">
        <v>15.504</v>
      </c>
    </row>
    <row r="45" spans="1:14" s="2" customFormat="1" ht="27.95" customHeight="1" x14ac:dyDescent="0.25">
      <c r="A45" s="7">
        <v>31</v>
      </c>
      <c r="B45" s="8" t="s">
        <v>26</v>
      </c>
      <c r="C45" s="9">
        <v>0</v>
      </c>
      <c r="D45" s="9">
        <v>0</v>
      </c>
      <c r="E45" s="10">
        <v>634.49199999999996</v>
      </c>
      <c r="F45" s="10">
        <v>59.232999999999997</v>
      </c>
      <c r="G45" s="9">
        <v>0</v>
      </c>
      <c r="H45" s="9">
        <v>0</v>
      </c>
      <c r="I45" s="10">
        <v>1036.5709999999999</v>
      </c>
      <c r="J45" s="10">
        <v>326.77699999999999</v>
      </c>
      <c r="K45" s="9">
        <v>0</v>
      </c>
      <c r="L45" s="9">
        <v>4077</v>
      </c>
      <c r="M45" s="10">
        <v>1866.902</v>
      </c>
      <c r="N45" s="10">
        <v>961.75099999999998</v>
      </c>
    </row>
    <row r="46" spans="1:14" s="2" customFormat="1" ht="27.95" customHeight="1" x14ac:dyDescent="0.25">
      <c r="A46" s="7">
        <v>32</v>
      </c>
      <c r="B46" s="8" t="s">
        <v>27</v>
      </c>
      <c r="C46" s="9">
        <v>0</v>
      </c>
      <c r="D46" s="9">
        <v>0</v>
      </c>
      <c r="E46" s="10">
        <v>0</v>
      </c>
      <c r="F46" s="10">
        <v>0</v>
      </c>
      <c r="G46" s="9">
        <v>425</v>
      </c>
      <c r="H46" s="9">
        <v>116</v>
      </c>
      <c r="I46" s="10">
        <v>0.755</v>
      </c>
      <c r="J46" s="10">
        <v>124.25</v>
      </c>
      <c r="K46" s="9">
        <v>437</v>
      </c>
      <c r="L46" s="9">
        <v>108</v>
      </c>
      <c r="M46" s="10">
        <v>4.0359999999999996</v>
      </c>
      <c r="N46" s="10">
        <v>74.463999999999999</v>
      </c>
    </row>
    <row r="47" spans="1:14" s="2" customFormat="1" ht="27.95" customHeight="1" x14ac:dyDescent="0.25">
      <c r="A47" s="7">
        <v>33</v>
      </c>
      <c r="B47" s="8" t="s">
        <v>28</v>
      </c>
      <c r="C47" s="9">
        <v>0</v>
      </c>
      <c r="D47" s="9">
        <v>0</v>
      </c>
      <c r="E47" s="10">
        <v>279.363</v>
      </c>
      <c r="F47" s="10">
        <v>180.24199999999999</v>
      </c>
      <c r="G47" s="9">
        <v>0</v>
      </c>
      <c r="H47" s="9">
        <v>0</v>
      </c>
      <c r="I47" s="10">
        <v>410.43099999999998</v>
      </c>
      <c r="J47" s="10">
        <v>385.44</v>
      </c>
      <c r="K47" s="9">
        <v>0</v>
      </c>
      <c r="L47" s="9">
        <v>0</v>
      </c>
      <c r="M47" s="10">
        <v>448.75400000000002</v>
      </c>
      <c r="N47" s="10">
        <v>527.63900000000001</v>
      </c>
    </row>
    <row r="48" spans="1:14" s="2" customFormat="1" ht="27.95" customHeight="1" x14ac:dyDescent="0.25">
      <c r="A48" s="7">
        <v>34</v>
      </c>
      <c r="B48" s="8" t="s">
        <v>29</v>
      </c>
      <c r="C48" s="9">
        <v>30</v>
      </c>
      <c r="D48" s="9">
        <v>76</v>
      </c>
      <c r="E48" s="10">
        <v>0</v>
      </c>
      <c r="F48" s="10">
        <v>57.392000000000003</v>
      </c>
      <c r="G48" s="9">
        <v>49</v>
      </c>
      <c r="H48" s="9">
        <v>10</v>
      </c>
      <c r="I48" s="10">
        <v>3.18</v>
      </c>
      <c r="J48" s="10">
        <v>246.96299999999999</v>
      </c>
      <c r="K48" s="9">
        <v>1525</v>
      </c>
      <c r="L48" s="9">
        <v>441</v>
      </c>
      <c r="M48" s="10">
        <v>1.86</v>
      </c>
      <c r="N48" s="10">
        <v>363.08350000000002</v>
      </c>
    </row>
    <row r="49" spans="1:14" s="2" customFormat="1" ht="27.95" customHeight="1" x14ac:dyDescent="0.25">
      <c r="A49" s="7">
        <v>35</v>
      </c>
      <c r="B49" s="8" t="s">
        <v>30</v>
      </c>
      <c r="C49" s="9">
        <v>0</v>
      </c>
      <c r="D49" s="9">
        <v>4358</v>
      </c>
      <c r="E49" s="10">
        <v>2395.5966200000003</v>
      </c>
      <c r="F49" s="10">
        <v>6322.8265499999998</v>
      </c>
      <c r="G49" s="9">
        <v>271</v>
      </c>
      <c r="H49" s="9">
        <v>9598</v>
      </c>
      <c r="I49" s="10">
        <v>3519.9810000000002</v>
      </c>
      <c r="J49" s="10">
        <v>8370.991</v>
      </c>
      <c r="K49" s="9">
        <v>9927</v>
      </c>
      <c r="L49" s="9">
        <v>1819</v>
      </c>
      <c r="M49" s="10">
        <v>5361.3638199999987</v>
      </c>
      <c r="N49" s="10">
        <v>10457.716359999999</v>
      </c>
    </row>
    <row r="50" spans="1:14" s="2" customFormat="1" ht="27.95" customHeight="1" x14ac:dyDescent="0.25">
      <c r="A50" s="7">
        <v>36</v>
      </c>
      <c r="B50" s="8" t="s">
        <v>31</v>
      </c>
      <c r="C50" s="9">
        <v>0</v>
      </c>
      <c r="D50" s="9">
        <v>337</v>
      </c>
      <c r="E50" s="10">
        <v>3.056</v>
      </c>
      <c r="F50" s="10">
        <v>44.106999999999999</v>
      </c>
      <c r="G50" s="9">
        <v>458</v>
      </c>
      <c r="H50" s="9">
        <v>871</v>
      </c>
      <c r="I50" s="10">
        <v>8.7620000000000005</v>
      </c>
      <c r="J50" s="10">
        <v>413.62400000000002</v>
      </c>
      <c r="K50" s="9">
        <v>3458</v>
      </c>
      <c r="L50" s="9">
        <v>1067</v>
      </c>
      <c r="M50" s="10">
        <v>48.969000000000001</v>
      </c>
      <c r="N50" s="10">
        <v>506.13200000000001</v>
      </c>
    </row>
    <row r="51" spans="1:14" s="2" customFormat="1" ht="27.95" customHeight="1" x14ac:dyDescent="0.25">
      <c r="A51" s="7">
        <v>37</v>
      </c>
      <c r="B51" s="8" t="s">
        <v>50</v>
      </c>
      <c r="C51" s="9">
        <v>0</v>
      </c>
      <c r="D51" s="9">
        <v>476</v>
      </c>
      <c r="E51" s="10">
        <v>55.116</v>
      </c>
      <c r="F51" s="10">
        <v>29.091999999999999</v>
      </c>
      <c r="G51" s="9">
        <v>0</v>
      </c>
      <c r="H51" s="9">
        <v>0</v>
      </c>
      <c r="I51" s="10">
        <v>0</v>
      </c>
      <c r="J51" s="10">
        <v>0</v>
      </c>
      <c r="K51" s="9">
        <v>0</v>
      </c>
      <c r="L51" s="9">
        <v>0</v>
      </c>
      <c r="M51" s="10">
        <v>0</v>
      </c>
      <c r="N51" s="10">
        <v>0</v>
      </c>
    </row>
    <row r="52" spans="1:14" s="2" customFormat="1" ht="27.95" customHeight="1" x14ac:dyDescent="0.25">
      <c r="A52" s="7">
        <v>38</v>
      </c>
      <c r="B52" s="8" t="s">
        <v>32</v>
      </c>
      <c r="C52" s="9">
        <v>0</v>
      </c>
      <c r="D52" s="9">
        <v>0</v>
      </c>
      <c r="E52" s="10">
        <v>0</v>
      </c>
      <c r="F52" s="10">
        <v>0</v>
      </c>
      <c r="G52" s="9">
        <v>0</v>
      </c>
      <c r="H52" s="9">
        <v>0</v>
      </c>
      <c r="I52" s="10">
        <v>0</v>
      </c>
      <c r="J52" s="10">
        <v>0</v>
      </c>
      <c r="K52" s="9">
        <v>0</v>
      </c>
      <c r="L52" s="9">
        <v>0</v>
      </c>
      <c r="M52" s="10">
        <v>0</v>
      </c>
      <c r="N52" s="10">
        <v>9.7556600000000007</v>
      </c>
    </row>
    <row r="53" spans="1:14" s="2" customFormat="1" ht="27.95" customHeight="1" x14ac:dyDescent="0.25">
      <c r="A53" s="7">
        <v>39</v>
      </c>
      <c r="B53" s="8" t="s">
        <v>33</v>
      </c>
      <c r="C53" s="9">
        <v>0</v>
      </c>
      <c r="D53" s="9">
        <v>208</v>
      </c>
      <c r="E53" s="10">
        <v>15.744</v>
      </c>
      <c r="F53" s="10">
        <v>14.274799999999999</v>
      </c>
      <c r="G53" s="9">
        <v>0</v>
      </c>
      <c r="H53" s="9">
        <v>296</v>
      </c>
      <c r="I53" s="10">
        <v>10.7</v>
      </c>
      <c r="J53" s="10">
        <v>0</v>
      </c>
      <c r="K53" s="9">
        <v>0</v>
      </c>
      <c r="L53" s="9">
        <v>0</v>
      </c>
      <c r="M53" s="10">
        <v>55.377900000000004</v>
      </c>
      <c r="N53" s="10">
        <v>67.501369999999994</v>
      </c>
    </row>
    <row r="54" spans="1:14" s="2" customFormat="1" ht="27.95" customHeight="1" x14ac:dyDescent="0.25">
      <c r="A54" s="7">
        <v>40</v>
      </c>
      <c r="B54" s="8" t="s">
        <v>48</v>
      </c>
      <c r="C54" s="9">
        <v>0</v>
      </c>
      <c r="D54" s="9">
        <v>582</v>
      </c>
      <c r="E54" s="10">
        <v>0.09</v>
      </c>
      <c r="F54" s="10">
        <v>2.9990000000000001</v>
      </c>
      <c r="G54" s="9">
        <v>0</v>
      </c>
      <c r="H54" s="9">
        <v>488</v>
      </c>
      <c r="I54" s="10">
        <v>55.204999999999998</v>
      </c>
      <c r="J54" s="10">
        <v>100.35299999999999</v>
      </c>
      <c r="K54" s="9">
        <v>562</v>
      </c>
      <c r="L54" s="9">
        <v>303</v>
      </c>
      <c r="M54" s="10">
        <v>183.79400000000001</v>
      </c>
      <c r="N54" s="10">
        <v>204.48699999999999</v>
      </c>
    </row>
    <row r="55" spans="1:14" s="2" customFormat="1" ht="27.95" customHeight="1" x14ac:dyDescent="0.25">
      <c r="A55" s="7">
        <v>41</v>
      </c>
      <c r="B55" s="8" t="s">
        <v>60</v>
      </c>
      <c r="C55" s="9">
        <v>0</v>
      </c>
      <c r="D55" s="9">
        <v>0</v>
      </c>
      <c r="E55" s="10">
        <v>0</v>
      </c>
      <c r="F55" s="10">
        <v>0</v>
      </c>
      <c r="G55" s="9">
        <v>0</v>
      </c>
      <c r="H55" s="9">
        <v>0</v>
      </c>
      <c r="I55" s="10">
        <v>132.786</v>
      </c>
      <c r="J55" s="10">
        <v>154.91300000000001</v>
      </c>
      <c r="K55" s="9">
        <v>0</v>
      </c>
      <c r="L55" s="9">
        <v>0</v>
      </c>
      <c r="M55" s="10">
        <v>234.73</v>
      </c>
      <c r="N55" s="10">
        <v>373.11599999999999</v>
      </c>
    </row>
    <row r="56" spans="1:14" s="2" customFormat="1" ht="27.95" customHeight="1" x14ac:dyDescent="0.25">
      <c r="A56" s="7">
        <v>42</v>
      </c>
      <c r="B56" s="8" t="s">
        <v>34</v>
      </c>
      <c r="C56" s="9">
        <v>0</v>
      </c>
      <c r="D56" s="9">
        <v>155</v>
      </c>
      <c r="E56" s="10">
        <v>2022.8345400000001</v>
      </c>
      <c r="F56" s="10">
        <v>2530.5889999999999</v>
      </c>
      <c r="G56" s="9">
        <v>0</v>
      </c>
      <c r="H56" s="9">
        <v>0</v>
      </c>
      <c r="I56" s="10">
        <v>2311.4435600000002</v>
      </c>
      <c r="J56" s="10">
        <v>2634.5675499999998</v>
      </c>
      <c r="K56" s="9">
        <v>792</v>
      </c>
      <c r="L56" s="9">
        <v>59</v>
      </c>
      <c r="M56" s="10">
        <v>1797.7559799999999</v>
      </c>
      <c r="N56" s="10">
        <v>2737.51278</v>
      </c>
    </row>
    <row r="57" spans="1:14" s="2" customFormat="1" ht="27.95" customHeight="1" x14ac:dyDescent="0.25">
      <c r="A57" s="7">
        <v>43</v>
      </c>
      <c r="B57" s="8" t="s">
        <v>35</v>
      </c>
      <c r="C57" s="9">
        <v>0</v>
      </c>
      <c r="D57" s="9">
        <v>3009</v>
      </c>
      <c r="E57" s="10">
        <v>10.481</v>
      </c>
      <c r="F57" s="10">
        <v>72.840999999999994</v>
      </c>
      <c r="G57" s="9">
        <v>0</v>
      </c>
      <c r="H57" s="9">
        <v>411</v>
      </c>
      <c r="I57" s="10">
        <v>65.662999999999997</v>
      </c>
      <c r="J57" s="10">
        <v>258.88499999999999</v>
      </c>
      <c r="K57" s="9">
        <v>0</v>
      </c>
      <c r="L57" s="9">
        <v>0</v>
      </c>
      <c r="M57" s="10">
        <v>138.21376000000001</v>
      </c>
      <c r="N57" s="10">
        <v>527.4846</v>
      </c>
    </row>
    <row r="58" spans="1:14" s="2" customFormat="1" ht="27.95" customHeight="1" x14ac:dyDescent="0.25">
      <c r="A58" s="7">
        <v>44</v>
      </c>
      <c r="B58" s="8" t="s">
        <v>36</v>
      </c>
      <c r="C58" s="9">
        <v>0</v>
      </c>
      <c r="D58" s="9">
        <v>0</v>
      </c>
      <c r="E58" s="10">
        <v>0</v>
      </c>
      <c r="F58" s="10">
        <v>54.51</v>
      </c>
      <c r="G58" s="9">
        <v>24</v>
      </c>
      <c r="H58" s="9">
        <v>264</v>
      </c>
      <c r="I58" s="10">
        <v>0</v>
      </c>
      <c r="J58" s="10">
        <v>127.223</v>
      </c>
      <c r="K58" s="9">
        <v>114</v>
      </c>
      <c r="L58" s="9">
        <v>204</v>
      </c>
      <c r="M58" s="10">
        <v>0</v>
      </c>
      <c r="N58" s="10">
        <v>119.937</v>
      </c>
    </row>
    <row r="59" spans="1:14" s="2" customFormat="1" ht="27.95" customHeight="1" x14ac:dyDescent="0.25">
      <c r="A59" s="7">
        <v>45</v>
      </c>
      <c r="B59" s="8" t="s">
        <v>37</v>
      </c>
      <c r="C59" s="9">
        <v>0</v>
      </c>
      <c r="D59" s="9">
        <v>0</v>
      </c>
      <c r="E59" s="10">
        <v>0</v>
      </c>
      <c r="F59" s="10">
        <v>0</v>
      </c>
      <c r="G59" s="9">
        <v>0</v>
      </c>
      <c r="H59" s="9">
        <v>0</v>
      </c>
      <c r="I59" s="10">
        <v>0</v>
      </c>
      <c r="J59" s="10">
        <v>0</v>
      </c>
      <c r="K59" s="9">
        <v>0</v>
      </c>
      <c r="L59" s="9">
        <v>0</v>
      </c>
      <c r="M59" s="10">
        <v>24.033999999999999</v>
      </c>
      <c r="N59" s="10">
        <v>73.492999999999995</v>
      </c>
    </row>
    <row r="60" spans="1:14" s="2" customFormat="1" ht="27.95" customHeight="1" x14ac:dyDescent="0.25">
      <c r="A60" s="7">
        <v>46</v>
      </c>
      <c r="B60" s="8" t="s">
        <v>38</v>
      </c>
      <c r="C60" s="9">
        <v>0</v>
      </c>
      <c r="D60" s="9">
        <v>0</v>
      </c>
      <c r="E60" s="10">
        <v>0</v>
      </c>
      <c r="F60" s="10">
        <v>0</v>
      </c>
      <c r="G60" s="9">
        <v>0</v>
      </c>
      <c r="H60" s="9">
        <v>0</v>
      </c>
      <c r="I60" s="10">
        <v>0</v>
      </c>
      <c r="J60" s="10">
        <v>0</v>
      </c>
      <c r="K60" s="9">
        <v>24</v>
      </c>
      <c r="L60" s="9">
        <v>884</v>
      </c>
      <c r="M60" s="10">
        <v>0</v>
      </c>
      <c r="N60" s="10">
        <v>0.36</v>
      </c>
    </row>
    <row r="61" spans="1:14" ht="27.75" customHeight="1" x14ac:dyDescent="0.25">
      <c r="A61" s="28" t="s">
        <v>39</v>
      </c>
      <c r="B61" s="28"/>
      <c r="C61" s="17">
        <f t="shared" ref="C61:N61" si="1">SUM(C15:C60)</f>
        <v>2428</v>
      </c>
      <c r="D61" s="17">
        <f t="shared" si="1"/>
        <v>19271</v>
      </c>
      <c r="E61" s="18">
        <f t="shared" si="1"/>
        <v>7433.6841599999989</v>
      </c>
      <c r="F61" s="18">
        <f t="shared" si="1"/>
        <v>12770.869349999999</v>
      </c>
      <c r="G61" s="17">
        <f t="shared" si="1"/>
        <v>2507</v>
      </c>
      <c r="H61" s="17">
        <f t="shared" si="1"/>
        <v>16560</v>
      </c>
      <c r="I61" s="18">
        <f t="shared" si="1"/>
        <v>16951.961860000003</v>
      </c>
      <c r="J61" s="18">
        <f t="shared" si="1"/>
        <v>22857.575850000001</v>
      </c>
      <c r="K61" s="17">
        <f t="shared" si="1"/>
        <v>59629</v>
      </c>
      <c r="L61" s="17">
        <f t="shared" si="1"/>
        <v>12420</v>
      </c>
      <c r="M61" s="18">
        <f t="shared" si="1"/>
        <v>23728.614560000002</v>
      </c>
      <c r="N61" s="18">
        <f t="shared" si="1"/>
        <v>35098.489940000007</v>
      </c>
    </row>
    <row r="62" spans="1:14" ht="41.25" customHeight="1" x14ac:dyDescent="0.25">
      <c r="A62" s="29" t="s">
        <v>40</v>
      </c>
      <c r="B62" s="30"/>
      <c r="C62" s="19">
        <f t="shared" ref="C62:N62" si="2">C13+C61</f>
        <v>2428</v>
      </c>
      <c r="D62" s="19">
        <f t="shared" si="2"/>
        <v>22776</v>
      </c>
      <c r="E62" s="20">
        <f t="shared" si="2"/>
        <v>8914.2357599999996</v>
      </c>
      <c r="F62" s="20">
        <f t="shared" si="2"/>
        <v>13861.039019999998</v>
      </c>
      <c r="G62" s="19">
        <f t="shared" si="2"/>
        <v>50767</v>
      </c>
      <c r="H62" s="19">
        <f t="shared" si="2"/>
        <v>29465</v>
      </c>
      <c r="I62" s="20">
        <f t="shared" si="2"/>
        <v>19727.005160000004</v>
      </c>
      <c r="J62" s="20">
        <f t="shared" si="2"/>
        <v>26100.558349999999</v>
      </c>
      <c r="K62" s="19">
        <f t="shared" si="2"/>
        <v>241051</v>
      </c>
      <c r="L62" s="19">
        <f t="shared" si="2"/>
        <v>64608</v>
      </c>
      <c r="M62" s="20">
        <f t="shared" si="2"/>
        <v>25477.376970000001</v>
      </c>
      <c r="N62" s="20">
        <f t="shared" si="2"/>
        <v>40063.732550000008</v>
      </c>
    </row>
    <row r="63" spans="1:14" s="2" customFormat="1" ht="30.75" customHeight="1" x14ac:dyDescent="0.25">
      <c r="A63" s="22" t="s">
        <v>49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4"/>
    </row>
    <row r="64" spans="1:14" s="2" customFormat="1" ht="30.75" customHeight="1" x14ac:dyDescent="0.25">
      <c r="A64" s="22" t="s">
        <v>71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4"/>
    </row>
    <row r="65" spans="1:14" s="2" customFormat="1" ht="21" customHeight="1" x14ac:dyDescent="0.25">
      <c r="A65" s="21" t="s">
        <v>47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1:14" ht="18.75" customHeight="1" x14ac:dyDescent="0.25"/>
    <row r="67" spans="1:14" ht="18.75" customHeight="1" x14ac:dyDescent="0.25"/>
    <row r="68" spans="1:14" ht="18.75" customHeight="1" x14ac:dyDescent="0.25"/>
  </sheetData>
  <mergeCells count="15">
    <mergeCell ref="A1:N1"/>
    <mergeCell ref="A2:N2"/>
    <mergeCell ref="A3:A4"/>
    <mergeCell ref="B3:B4"/>
    <mergeCell ref="C3:F3"/>
    <mergeCell ref="G3:J3"/>
    <mergeCell ref="K3:N3"/>
    <mergeCell ref="A65:N65"/>
    <mergeCell ref="A63:N63"/>
    <mergeCell ref="A5:N5"/>
    <mergeCell ref="A13:B13"/>
    <mergeCell ref="A14:N14"/>
    <mergeCell ref="A61:B61"/>
    <mergeCell ref="A62:B62"/>
    <mergeCell ref="A64:N64"/>
  </mergeCells>
  <printOptions horizontalCentered="1"/>
  <pageMargins left="0" right="0" top="3.937007874015748E-2" bottom="3.937007874015748E-2" header="0.31496062992125984" footer="0.31496062992125984"/>
  <pageSetup scale="55" fitToHeight="2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MONTHWISE</vt:lpstr>
      <vt:lpstr>MONTHWISE!Print_Area</vt:lpstr>
      <vt:lpstr>MONTHWISE!Print_Titles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2022-03-24T07:38:45Z</dcterms:modified>
</cp:coreProperties>
</file>