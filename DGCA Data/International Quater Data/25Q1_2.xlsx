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MONTHWISE!$A$1:$N$92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1" i="2" l="1"/>
  <c r="E11" i="2"/>
  <c r="F11" i="2"/>
  <c r="G11" i="2"/>
  <c r="H11" i="2"/>
  <c r="I11" i="2"/>
  <c r="J11" i="2"/>
  <c r="K11" i="2"/>
  <c r="L11" i="2"/>
  <c r="M11" i="2"/>
  <c r="N11" i="2"/>
  <c r="C11" i="2"/>
  <c r="D89" i="2" l="1"/>
  <c r="E89" i="2"/>
  <c r="F89" i="2"/>
  <c r="G89" i="2"/>
  <c r="H89" i="2"/>
  <c r="I89" i="2"/>
  <c r="J89" i="2"/>
  <c r="K89" i="2"/>
  <c r="L89" i="2"/>
  <c r="M89" i="2"/>
  <c r="N89" i="2"/>
  <c r="C89" i="2"/>
  <c r="D90" i="2" l="1"/>
  <c r="E90" i="2"/>
  <c r="F90" i="2"/>
  <c r="G90" i="2"/>
  <c r="H90" i="2"/>
  <c r="I90" i="2"/>
  <c r="J90" i="2"/>
  <c r="K90" i="2"/>
  <c r="L90" i="2"/>
  <c r="M90" i="2"/>
  <c r="N90" i="2"/>
  <c r="C90" i="2" l="1"/>
</calcChain>
</file>

<file path=xl/sharedStrings.xml><?xml version="1.0" encoding="utf-8"?>
<sst xmlns="http://schemas.openxmlformats.org/spreadsheetml/2006/main" count="107" uniqueCount="99">
  <si>
    <t>NAME OF THE AIRLINE</t>
  </si>
  <si>
    <t>AIR INDIA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</si>
  <si>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</si>
  <si>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</si>
  <si>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</si>
  <si>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</si>
  <si>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</si>
  <si>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</si>
  <si>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</si>
  <si>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</si>
  <si>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</si>
  <si>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</si>
  <si>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</si>
  <si>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</si>
  <si>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</si>
  <si>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</si>
  <si>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</si>
  <si>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</si>
  <si>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</si>
  <si>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</si>
  <si>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</si>
  <si>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</si>
  <si>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</si>
  <si>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</si>
  <si>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</si>
  <si>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</si>
  <si>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</si>
  <si>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</si>
  <si>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</si>
  <si>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</si>
  <si>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</si>
  <si>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</si>
  <si>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</si>
  <si>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</si>
  <si>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</si>
  <si>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</si>
  <si>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</si>
  <si>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</si>
  <si>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</si>
  <si>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</si>
  <si>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</si>
  <si>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</si>
  <si>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</si>
  <si>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</si>
  <si>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</si>
  <si>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</si>
  <si>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</si>
  <si>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</si>
  <si>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</si>
  <si>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</si>
  <si>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</si>
  <si>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</si>
  <si>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</si>
  <si>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</si>
  <si>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</si>
  <si>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</si>
  <si>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</si>
  <si>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</si>
  <si>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</si>
  <si>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</si>
  <si>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</si>
  <si>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</si>
  <si>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QANTAS AIRLINES</t>
  </si>
  <si>
    <t>SAUDIA</t>
  </si>
  <si>
    <t>BRITISH AIRWAYS</t>
  </si>
  <si>
    <t>THAI AIR ASIA</t>
  </si>
  <si>
    <t>THAI LION AIR</t>
  </si>
  <si>
    <t>VIETJET AIR</t>
  </si>
  <si>
    <t>AZERBAIJAN AIRLINES</t>
  </si>
  <si>
    <t>AERO NOMAD</t>
  </si>
  <si>
    <t>BHUTAN AIRLINES</t>
  </si>
  <si>
    <t>NEOS SPA</t>
  </si>
  <si>
    <t>VIETNAM AIRLINES</t>
  </si>
  <si>
    <t>BUDDHA AIR</t>
  </si>
  <si>
    <t>SALAM AIR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</si>
  <si>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</si>
  <si>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</si>
  <si>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</si>
  <si>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</si>
  <si>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</si>
  <si>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</si>
  <si>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</si>
  <si>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</si>
  <si>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AKASA AIR</t>
  </si>
  <si>
    <t>DOMESTIC OPERATORS</t>
  </si>
  <si>
    <t>TOTAL (DOMESTIC OPERATORS)</t>
  </si>
  <si>
    <t xml:space="preserve">FOREIGN OPERATORS </t>
  </si>
  <si>
    <t>TOTAL (FOREIGN OPERATORS)</t>
  </si>
  <si>
    <t>TOTAL (DOMESTIC &amp; FOREIGN OPERATORS)</t>
  </si>
  <si>
    <t>Note: This table does not include the passengers and freight carried by domestic operators entirely outside the Indian territory.</t>
  </si>
  <si>
    <t>FITS AVIATION</t>
  </si>
  <si>
    <t>SCAT AIRLINES</t>
  </si>
  <si>
    <t>TABLE 2. AIRLINEWISE MONTHLY INTERNATIONAL TRAFFIC STATISTICS (SCHEDULED) FOR THE QUARTER JANUARY-MARCH 2025 (P)</t>
  </si>
  <si>
    <t>JANUARY</t>
  </si>
  <si>
    <t>FEBRUARY</t>
  </si>
  <si>
    <t>MARCH</t>
  </si>
  <si>
    <t>ITA AIRWAYS</t>
  </si>
  <si>
    <t>NOVO AIR</t>
  </si>
  <si>
    <t>THAI AIR ASIA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</si>
</sst>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6" fontId="7" fillId="0" borderId="1" xfId="1" applyNumberFormat="1" applyFont="1" applyBorder="1" applyAlignment="1">
      <alignment horizontal="right" vertical="center"/>
    </xf>
    <xf numFmtId="166" fontId="7" fillId="0" borderId="1" xfId="1" applyNumberFormat="1" applyFont="1" applyFill="1" applyBorder="1" applyAlignment="1">
      <alignment horizontal="right" vertical="center"/>
    </xf>
    <xf numFmtId="166" fontId="6" fillId="4" borderId="1" xfId="1" applyNumberFormat="1" applyFont="1" applyFill="1" applyBorder="1" applyAlignment="1">
      <alignment horizontal="right" vertical="center"/>
    </xf>
    <xf numFmtId="166" fontId="4" fillId="2" borderId="1" xfId="1" applyNumberFormat="1" applyFont="1" applyFill="1" applyBorder="1" applyAlignment="1">
      <alignment horizontal="right" vertical="center" wrapText="1"/>
    </xf>
    <xf numFmtId="166" fontId="4" fillId="4" borderId="1" xfId="1" applyNumberFormat="1" applyFont="1" applyFill="1" applyBorder="1" applyAlignment="1">
      <alignment horizontal="right" vertical="center"/>
    </xf>
    <xf numFmtId="166" fontId="6" fillId="3" borderId="1" xfId="1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abSelected="1" view="pageBreakPreview" topLeftCell="A4" zoomScale="70" zoomScaleNormal="55" zoomScaleSheetLayoutView="70" workbookViewId="0">
      <selection activeCell="L24" sqref="L24"/>
    </sheetView>
  </sheetViews>
  <sheetFormatPr defaultRowHeight="16.5" customHeight="1" x14ac:dyDescent="0.25"/>
  <cols>
    <col min="1" max="1" width="9" style="12" customWidth="1"/>
    <col min="2" max="2" width="41.5703125" style="13" customWidth="1"/>
    <col min="3" max="3" width="15.85546875" style="26" customWidth="1"/>
    <col min="4" max="4" width="17" style="26" customWidth="1"/>
    <col min="5" max="5" width="15.85546875" style="19" customWidth="1"/>
    <col min="6" max="6" width="16.7109375" style="19" customWidth="1"/>
    <col min="7" max="8" width="16.85546875" style="26" customWidth="1"/>
    <col min="9" max="9" width="13.28515625" style="19" customWidth="1"/>
    <col min="10" max="10" width="15.28515625" style="19" customWidth="1"/>
    <col min="11" max="11" width="15.5703125" style="26" customWidth="1"/>
    <col min="12" max="12" width="17" style="26" customWidth="1"/>
    <col min="13" max="13" width="12.28515625" style="19" customWidth="1"/>
    <col min="14" max="14" width="16" style="19" customWidth="1"/>
    <col min="15" max="19" width="12.42578125" style="1" customWidth="1"/>
    <col min="20" max="16384" width="9.140625" style="1"/>
  </cols>
  <sheetData>
    <row r="1" spans="1:14" ht="56.25" customHeight="1" x14ac:dyDescent="0.25">
      <c r="A1" s="36" t="s">
        <v>92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s="2" customFormat="1" ht="16.5" customHeight="1" x14ac:dyDescent="0.25">
      <c r="A2" s="3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6.5" customHeight="1" x14ac:dyDescent="0.25">
      <c r="A3" s="38" t="s">
        <v>30</v>
      </c>
      <c r="B3" s="40" t="s">
        <v>0</v>
      </c>
      <c r="C3" s="42" t="s">
        <v>93</v>
      </c>
      <c r="D3" s="43"/>
      <c r="E3" s="43"/>
      <c r="F3" s="44"/>
      <c r="G3" s="42" t="s">
        <v>94</v>
      </c>
      <c r="H3" s="43"/>
      <c r="I3" s="43"/>
      <c r="J3" s="44"/>
      <c r="K3" s="42" t="s">
        <v>95</v>
      </c>
      <c r="L3" s="43"/>
      <c r="M3" s="43"/>
      <c r="N3" s="44"/>
    </row>
    <row r="4" spans="1:14" s="6" customFormat="1" ht="41.25" customHeight="1" x14ac:dyDescent="0.25">
      <c r="A4" s="39"/>
      <c r="B4" s="41"/>
      <c r="C4" s="23" t="s">
        <v>24</v>
      </c>
      <c r="D4" s="23" t="s">
        <v>25</v>
      </c>
      <c r="E4" s="14" t="s">
        <v>26</v>
      </c>
      <c r="F4" s="14" t="s">
        <v>27</v>
      </c>
      <c r="G4" s="23" t="s">
        <v>24</v>
      </c>
      <c r="H4" s="23" t="s">
        <v>25</v>
      </c>
      <c r="I4" s="14" t="s">
        <v>26</v>
      </c>
      <c r="J4" s="14" t="s">
        <v>27</v>
      </c>
      <c r="K4" s="23" t="s">
        <v>24</v>
      </c>
      <c r="L4" s="23" t="s">
        <v>25</v>
      </c>
      <c r="M4" s="14" t="s">
        <v>26</v>
      </c>
      <c r="N4" s="14" t="s">
        <v>27</v>
      </c>
    </row>
    <row r="5" spans="1:14" ht="16.5" customHeight="1" x14ac:dyDescent="0.25">
      <c r="A5" s="31" t="s">
        <v>84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s="4" customFormat="1" ht="16.5" customHeight="1" x14ac:dyDescent="0.25">
      <c r="A6" s="3">
        <v>1</v>
      </c>
      <c r="B6" s="9" t="s">
        <v>1</v>
      </c>
      <c r="C6" s="20">
        <v>510873</v>
      </c>
      <c r="D6" s="20">
        <v>513225</v>
      </c>
      <c r="E6" s="15">
        <v>5525.6720999999989</v>
      </c>
      <c r="F6" s="15">
        <v>8753.5032000000028</v>
      </c>
      <c r="G6" s="20">
        <v>471373</v>
      </c>
      <c r="H6" s="20">
        <v>483824</v>
      </c>
      <c r="I6" s="15">
        <v>6274.4755000000023</v>
      </c>
      <c r="J6" s="15">
        <v>8501.9376999999986</v>
      </c>
      <c r="K6" s="20">
        <v>457931</v>
      </c>
      <c r="L6" s="20">
        <v>507084</v>
      </c>
      <c r="M6" s="15">
        <v>7044.7463000000016</v>
      </c>
      <c r="N6" s="15">
        <v>10403.082899999998</v>
      </c>
    </row>
    <row r="7" spans="1:14" s="4" customFormat="1" ht="16.5" customHeight="1" x14ac:dyDescent="0.25">
      <c r="A7" s="3">
        <v>2</v>
      </c>
      <c r="B7" s="9" t="s">
        <v>49</v>
      </c>
      <c r="C7" s="20">
        <v>280672</v>
      </c>
      <c r="D7" s="20">
        <v>325755</v>
      </c>
      <c r="E7" s="16">
        <v>1867.215088167939</v>
      </c>
      <c r="F7" s="16">
        <v>4587.4941058374516</v>
      </c>
      <c r="G7" s="20">
        <v>217912</v>
      </c>
      <c r="H7" s="20">
        <v>289478</v>
      </c>
      <c r="I7" s="16">
        <v>1291.2254999999998</v>
      </c>
      <c r="J7" s="16">
        <v>3401.3388999999997</v>
      </c>
      <c r="K7" s="20">
        <v>228057</v>
      </c>
      <c r="L7" s="20">
        <v>267907</v>
      </c>
      <c r="M7" s="16">
        <v>1531.4386000000002</v>
      </c>
      <c r="N7" s="16">
        <v>3320.9623999999994</v>
      </c>
    </row>
    <row r="8" spans="1:14" s="4" customFormat="1" ht="16.5" customHeight="1" x14ac:dyDescent="0.25">
      <c r="A8" s="3">
        <v>3</v>
      </c>
      <c r="B8" s="9" t="s">
        <v>83</v>
      </c>
      <c r="C8" s="20">
        <v>19597</v>
      </c>
      <c r="D8" s="20">
        <v>28001</v>
      </c>
      <c r="E8" s="15">
        <v>7.5329999999999994E-2</v>
      </c>
      <c r="F8" s="15">
        <v>130.98699999999999</v>
      </c>
      <c r="G8" s="20">
        <v>17862</v>
      </c>
      <c r="H8" s="20">
        <v>23313</v>
      </c>
      <c r="I8" s="15">
        <v>0</v>
      </c>
      <c r="J8" s="15">
        <v>132.85900000000001</v>
      </c>
      <c r="K8" s="20">
        <v>19490</v>
      </c>
      <c r="L8" s="20">
        <v>27680</v>
      </c>
      <c r="M8" s="15">
        <v>0</v>
      </c>
      <c r="N8" s="15">
        <v>140.88998999999998</v>
      </c>
    </row>
    <row r="9" spans="1:14" s="4" customFormat="1" ht="16.5" customHeight="1" x14ac:dyDescent="0.25">
      <c r="A9" s="3">
        <v>4</v>
      </c>
      <c r="B9" s="9" t="s">
        <v>50</v>
      </c>
      <c r="C9" s="20">
        <v>686782</v>
      </c>
      <c r="D9" s="20">
        <v>702724</v>
      </c>
      <c r="E9" s="15">
        <v>740.18</v>
      </c>
      <c r="F9" s="15">
        <v>2926.7950000000001</v>
      </c>
      <c r="G9" s="20">
        <v>601135</v>
      </c>
      <c r="H9" s="20">
        <v>649826</v>
      </c>
      <c r="I9" s="15">
        <v>810.73299999999995</v>
      </c>
      <c r="J9" s="15">
        <v>3142.2040000000002</v>
      </c>
      <c r="K9" s="20">
        <v>623672</v>
      </c>
      <c r="L9" s="20">
        <v>664947</v>
      </c>
      <c r="M9" s="15">
        <v>1143.0889999999999</v>
      </c>
      <c r="N9" s="15">
        <v>3893.145</v>
      </c>
    </row>
    <row r="10" spans="1:14" s="4" customFormat="1" ht="16.5" customHeight="1" x14ac:dyDescent="0.25">
      <c r="A10" s="3">
        <v>5</v>
      </c>
      <c r="B10" s="9" t="s">
        <v>51</v>
      </c>
      <c r="C10" s="20">
        <v>58064</v>
      </c>
      <c r="D10" s="20">
        <v>67064</v>
      </c>
      <c r="E10" s="15">
        <v>114.91805000000001</v>
      </c>
      <c r="F10" s="15">
        <v>634.61172999999997</v>
      </c>
      <c r="G10" s="20">
        <v>48818</v>
      </c>
      <c r="H10" s="20">
        <v>59371</v>
      </c>
      <c r="I10" s="15">
        <v>70.630800000000008</v>
      </c>
      <c r="J10" s="15">
        <v>535.58126000000004</v>
      </c>
      <c r="K10" s="20">
        <v>50476</v>
      </c>
      <c r="L10" s="20">
        <v>60356</v>
      </c>
      <c r="M10" s="15">
        <v>115.9755</v>
      </c>
      <c r="N10" s="15">
        <v>658.36337999999989</v>
      </c>
    </row>
    <row r="11" spans="1:14" ht="16.5" customHeight="1" x14ac:dyDescent="0.25">
      <c r="A11" s="32" t="s">
        <v>85</v>
      </c>
      <c r="B11" s="32"/>
      <c r="C11" s="24">
        <f t="shared" ref="C11:N11" si="0">SUM(C6:C10)</f>
        <v>1555988</v>
      </c>
      <c r="D11" s="24">
        <f t="shared" si="0"/>
        <v>1636769</v>
      </c>
      <c r="E11" s="7">
        <f t="shared" si="0"/>
        <v>8248.0605681679372</v>
      </c>
      <c r="F11" s="7">
        <f t="shared" si="0"/>
        <v>17033.391035837452</v>
      </c>
      <c r="G11" s="24">
        <f t="shared" si="0"/>
        <v>1357100</v>
      </c>
      <c r="H11" s="24">
        <f t="shared" si="0"/>
        <v>1505812</v>
      </c>
      <c r="I11" s="7">
        <f t="shared" si="0"/>
        <v>8447.0648000000019</v>
      </c>
      <c r="J11" s="7">
        <f t="shared" si="0"/>
        <v>15713.920859999998</v>
      </c>
      <c r="K11" s="24">
        <f t="shared" si="0"/>
        <v>1379626</v>
      </c>
      <c r="L11" s="24">
        <f t="shared" si="0"/>
        <v>1527974</v>
      </c>
      <c r="M11" s="7">
        <f t="shared" si="0"/>
        <v>9835.2494000000024</v>
      </c>
      <c r="N11" s="7">
        <f t="shared" si="0"/>
        <v>18416.443669999997</v>
      </c>
    </row>
    <row r="12" spans="1:14" ht="16.5" customHeight="1" x14ac:dyDescent="0.25">
      <c r="A12" s="33" t="s">
        <v>86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1:14" ht="16.5" customHeight="1" x14ac:dyDescent="0.25">
      <c r="A13" s="10">
        <v>1</v>
      </c>
      <c r="B13" s="9" t="s">
        <v>69</v>
      </c>
      <c r="C13" s="20">
        <v>185</v>
      </c>
      <c r="D13" s="20">
        <v>238</v>
      </c>
      <c r="E13" s="15">
        <v>0</v>
      </c>
      <c r="F13" s="15">
        <v>0</v>
      </c>
      <c r="G13" s="20">
        <v>49</v>
      </c>
      <c r="H13" s="20">
        <v>105</v>
      </c>
      <c r="I13" s="15">
        <v>0</v>
      </c>
      <c r="J13" s="15">
        <v>0</v>
      </c>
      <c r="K13" s="20">
        <v>127</v>
      </c>
      <c r="L13" s="20">
        <v>133</v>
      </c>
      <c r="M13" s="15">
        <v>0</v>
      </c>
      <c r="N13" s="15">
        <v>0</v>
      </c>
    </row>
    <row r="14" spans="1:14" ht="16.5" customHeight="1" x14ac:dyDescent="0.25">
      <c r="A14" s="10">
        <v>2</v>
      </c>
      <c r="B14" s="9" t="s">
        <v>2</v>
      </c>
      <c r="C14" s="20">
        <v>13240</v>
      </c>
      <c r="D14" s="20">
        <v>13355</v>
      </c>
      <c r="E14" s="16">
        <v>21.079000000000001</v>
      </c>
      <c r="F14" s="16">
        <v>136.00299999999999</v>
      </c>
      <c r="G14" s="20">
        <v>12536</v>
      </c>
      <c r="H14" s="20">
        <v>12954</v>
      </c>
      <c r="I14" s="15">
        <v>59.66</v>
      </c>
      <c r="J14" s="15">
        <v>103.596</v>
      </c>
      <c r="K14" s="20">
        <v>12490</v>
      </c>
      <c r="L14" s="20">
        <v>15031</v>
      </c>
      <c r="M14" s="15">
        <v>38.738</v>
      </c>
      <c r="N14" s="15">
        <v>165.88800000000001</v>
      </c>
    </row>
    <row r="15" spans="1:14" ht="16.5" customHeight="1" x14ac:dyDescent="0.25">
      <c r="A15" s="10">
        <v>3</v>
      </c>
      <c r="B15" s="9" t="s">
        <v>3</v>
      </c>
      <c r="C15" s="20">
        <v>0</v>
      </c>
      <c r="D15" s="20">
        <v>0</v>
      </c>
      <c r="E15" s="15">
        <v>5526.6130000000003</v>
      </c>
      <c r="F15" s="15">
        <v>5850.8419999999996</v>
      </c>
      <c r="G15" s="20">
        <v>0</v>
      </c>
      <c r="H15" s="20">
        <v>0</v>
      </c>
      <c r="I15" s="15">
        <v>5485.5119999999997</v>
      </c>
      <c r="J15" s="15">
        <v>5804.9</v>
      </c>
      <c r="K15" s="21">
        <v>0</v>
      </c>
      <c r="L15" s="21">
        <v>0</v>
      </c>
      <c r="M15" s="16">
        <v>6516.7070000000003</v>
      </c>
      <c r="N15" s="16">
        <v>6847.875</v>
      </c>
    </row>
    <row r="16" spans="1:14" ht="16.5" customHeight="1" x14ac:dyDescent="0.25">
      <c r="A16" s="10">
        <v>4</v>
      </c>
      <c r="B16" s="9" t="s">
        <v>4</v>
      </c>
      <c r="C16" s="20">
        <v>80278</v>
      </c>
      <c r="D16" s="20">
        <v>84900</v>
      </c>
      <c r="E16" s="15">
        <v>85.186000000000007</v>
      </c>
      <c r="F16" s="15">
        <v>1094.597</v>
      </c>
      <c r="G16" s="20">
        <v>72274</v>
      </c>
      <c r="H16" s="20">
        <v>76282</v>
      </c>
      <c r="I16" s="15">
        <v>82.070999999999998</v>
      </c>
      <c r="J16" s="15">
        <v>1016.6319999999999</v>
      </c>
      <c r="K16" s="20">
        <v>77674</v>
      </c>
      <c r="L16" s="20">
        <v>80974</v>
      </c>
      <c r="M16" s="15">
        <v>86.268000000000001</v>
      </c>
      <c r="N16" s="15">
        <v>1203.8920000000001</v>
      </c>
    </row>
    <row r="17" spans="1:17" ht="16.5" customHeight="1" x14ac:dyDescent="0.25">
      <c r="A17" s="10">
        <v>5</v>
      </c>
      <c r="B17" s="9" t="s">
        <v>58</v>
      </c>
      <c r="C17" s="20">
        <v>45522</v>
      </c>
      <c r="D17" s="20">
        <v>51152</v>
      </c>
      <c r="E17" s="15">
        <v>56.597000000000001</v>
      </c>
      <c r="F17" s="15">
        <v>605.70899999999995</v>
      </c>
      <c r="G17" s="20">
        <v>36089</v>
      </c>
      <c r="H17" s="20">
        <v>47704</v>
      </c>
      <c r="I17" s="15">
        <v>102.57599999999999</v>
      </c>
      <c r="J17" s="15">
        <v>597.24599999999998</v>
      </c>
      <c r="K17" s="20">
        <v>43739</v>
      </c>
      <c r="L17" s="20">
        <v>47422</v>
      </c>
      <c r="M17" s="15">
        <v>92.251000000000005</v>
      </c>
      <c r="N17" s="15">
        <v>676.25400000000002</v>
      </c>
    </row>
    <row r="18" spans="1:17" ht="16.5" customHeight="1" x14ac:dyDescent="0.25">
      <c r="A18" s="10">
        <v>6</v>
      </c>
      <c r="B18" s="9" t="s">
        <v>52</v>
      </c>
      <c r="C18" s="21">
        <v>57683</v>
      </c>
      <c r="D18" s="21">
        <v>52782</v>
      </c>
      <c r="E18" s="15">
        <v>122.86</v>
      </c>
      <c r="F18" s="15">
        <v>340.06400000000002</v>
      </c>
      <c r="G18" s="20">
        <v>36716</v>
      </c>
      <c r="H18" s="20">
        <v>48105</v>
      </c>
      <c r="I18" s="15">
        <v>52.078000000000003</v>
      </c>
      <c r="J18" s="15">
        <v>389.23602</v>
      </c>
      <c r="K18" s="20">
        <v>47011</v>
      </c>
      <c r="L18" s="20">
        <v>45917</v>
      </c>
      <c r="M18" s="15">
        <v>120.532</v>
      </c>
      <c r="N18" s="15">
        <v>460.09199999999998</v>
      </c>
    </row>
    <row r="19" spans="1:17" s="5" customFormat="1" ht="16.5" customHeight="1" x14ac:dyDescent="0.25">
      <c r="A19" s="10">
        <v>7</v>
      </c>
      <c r="B19" s="11" t="s">
        <v>40</v>
      </c>
      <c r="C19" s="21">
        <v>5957</v>
      </c>
      <c r="D19" s="21">
        <v>5556</v>
      </c>
      <c r="E19" s="15">
        <v>210.67400000000001</v>
      </c>
      <c r="F19" s="15">
        <v>137.66</v>
      </c>
      <c r="G19" s="20">
        <v>4532</v>
      </c>
      <c r="H19" s="20">
        <v>5569</v>
      </c>
      <c r="I19" s="15">
        <v>120.214</v>
      </c>
      <c r="J19" s="15">
        <v>141.31700000000001</v>
      </c>
      <c r="K19" s="20">
        <v>4651</v>
      </c>
      <c r="L19" s="20">
        <v>5586</v>
      </c>
      <c r="M19" s="15">
        <v>225.61199999999999</v>
      </c>
      <c r="N19" s="15">
        <v>202.87</v>
      </c>
      <c r="O19" s="1"/>
      <c r="P19" s="1"/>
      <c r="Q19" s="1"/>
    </row>
    <row r="20" spans="1:17" s="5" customFormat="1" ht="16.5" customHeight="1" x14ac:dyDescent="0.25">
      <c r="A20" s="10">
        <v>8</v>
      </c>
      <c r="B20" s="9" t="s">
        <v>76</v>
      </c>
      <c r="C20" s="20">
        <v>4557</v>
      </c>
      <c r="D20" s="20">
        <v>4603</v>
      </c>
      <c r="E20" s="15">
        <v>0.54700000000000004</v>
      </c>
      <c r="F20" s="15">
        <v>58.887</v>
      </c>
      <c r="G20" s="21">
        <v>2981</v>
      </c>
      <c r="H20" s="21">
        <v>3488</v>
      </c>
      <c r="I20" s="16">
        <v>3.8959999999999999</v>
      </c>
      <c r="J20" s="16">
        <v>45.761000000000003</v>
      </c>
      <c r="K20" s="21">
        <v>4046</v>
      </c>
      <c r="L20" s="21">
        <v>5128</v>
      </c>
      <c r="M20" s="16">
        <v>1.006</v>
      </c>
      <c r="N20" s="16">
        <v>47.328000000000003</v>
      </c>
      <c r="O20" s="1"/>
      <c r="P20" s="1"/>
      <c r="Q20" s="1"/>
    </row>
    <row r="21" spans="1:17" s="5" customFormat="1" ht="16.5" customHeight="1" x14ac:dyDescent="0.25">
      <c r="A21" s="10">
        <v>9</v>
      </c>
      <c r="B21" s="9" t="s">
        <v>35</v>
      </c>
      <c r="C21" s="20">
        <v>28570</v>
      </c>
      <c r="D21" s="20">
        <v>25152</v>
      </c>
      <c r="E21" s="15">
        <v>147.78899999999999</v>
      </c>
      <c r="F21" s="15">
        <v>659.02499999999998</v>
      </c>
      <c r="G21" s="20">
        <v>24554</v>
      </c>
      <c r="H21" s="20">
        <v>22012</v>
      </c>
      <c r="I21" s="15">
        <v>155.28200000000001</v>
      </c>
      <c r="J21" s="15">
        <v>555.42899999999997</v>
      </c>
      <c r="K21" s="20">
        <v>19372</v>
      </c>
      <c r="L21" s="20">
        <v>24075</v>
      </c>
      <c r="M21" s="15">
        <v>124.517</v>
      </c>
      <c r="N21" s="15">
        <v>474.13799999999998</v>
      </c>
      <c r="O21" s="1"/>
      <c r="P21" s="1"/>
      <c r="Q21" s="1"/>
    </row>
    <row r="22" spans="1:17" s="5" customFormat="1" ht="16.5" customHeight="1" x14ac:dyDescent="0.25">
      <c r="A22" s="10">
        <v>10</v>
      </c>
      <c r="B22" s="9" t="s">
        <v>36</v>
      </c>
      <c r="C22" s="20">
        <v>32496</v>
      </c>
      <c r="D22" s="20">
        <v>34513</v>
      </c>
      <c r="E22" s="15">
        <v>714.322</v>
      </c>
      <c r="F22" s="15">
        <v>1160.1510000000001</v>
      </c>
      <c r="G22" s="20">
        <v>27030</v>
      </c>
      <c r="H22" s="20">
        <v>28395</v>
      </c>
      <c r="I22" s="15">
        <v>802.13800000000003</v>
      </c>
      <c r="J22" s="15">
        <v>1050.146</v>
      </c>
      <c r="K22" s="20">
        <v>20930</v>
      </c>
      <c r="L22" s="20">
        <v>29134</v>
      </c>
      <c r="M22" s="15">
        <v>815.29600000000005</v>
      </c>
      <c r="N22" s="15">
        <v>1143.6379999999999</v>
      </c>
      <c r="O22" s="1"/>
      <c r="P22" s="1"/>
      <c r="Q22" s="1"/>
    </row>
    <row r="23" spans="1:17" s="5" customFormat="1" ht="16.5" customHeight="1" x14ac:dyDescent="0.25">
      <c r="A23" s="10">
        <v>11</v>
      </c>
      <c r="B23" s="9" t="s">
        <v>41</v>
      </c>
      <c r="C23" s="20">
        <v>5851</v>
      </c>
      <c r="D23" s="20">
        <v>7392</v>
      </c>
      <c r="E23" s="15">
        <v>42.835999999999999</v>
      </c>
      <c r="F23" s="15">
        <v>302.67899999999997</v>
      </c>
      <c r="G23" s="20">
        <v>4298</v>
      </c>
      <c r="H23" s="20">
        <v>5722</v>
      </c>
      <c r="I23" s="15">
        <v>6.6130000000000004</v>
      </c>
      <c r="J23" s="15">
        <v>322.36</v>
      </c>
      <c r="K23" s="20">
        <v>5365</v>
      </c>
      <c r="L23" s="20">
        <v>6408</v>
      </c>
      <c r="M23" s="15">
        <v>7.1319999999999997</v>
      </c>
      <c r="N23" s="15">
        <v>299.37200000000001</v>
      </c>
      <c r="O23" s="1"/>
      <c r="P23" s="1"/>
      <c r="Q23" s="1"/>
    </row>
    <row r="24" spans="1:17" s="5" customFormat="1" ht="16.5" customHeight="1" x14ac:dyDescent="0.25">
      <c r="A24" s="10">
        <v>12</v>
      </c>
      <c r="B24" s="11" t="s">
        <v>47</v>
      </c>
      <c r="C24" s="21">
        <v>454</v>
      </c>
      <c r="D24" s="21">
        <v>703</v>
      </c>
      <c r="E24" s="15">
        <v>0</v>
      </c>
      <c r="F24" s="15">
        <v>1.9450000000000001</v>
      </c>
      <c r="G24" s="20">
        <v>537</v>
      </c>
      <c r="H24" s="20">
        <v>642</v>
      </c>
      <c r="I24" s="15">
        <v>4.5999999999999999E-2</v>
      </c>
      <c r="J24" s="15">
        <v>3.7519999999999998</v>
      </c>
      <c r="K24" s="20">
        <v>431</v>
      </c>
      <c r="L24" s="20">
        <v>471</v>
      </c>
      <c r="M24" s="15">
        <v>5.0999999999999997E-2</v>
      </c>
      <c r="N24" s="15">
        <v>4.9359999999999999</v>
      </c>
      <c r="O24" s="1"/>
      <c r="P24" s="1"/>
      <c r="Q24" s="1"/>
    </row>
    <row r="25" spans="1:17" s="5" customFormat="1" ht="16.5" customHeight="1" x14ac:dyDescent="0.25">
      <c r="A25" s="10">
        <v>13</v>
      </c>
      <c r="B25" s="9" t="s">
        <v>59</v>
      </c>
      <c r="C25" s="20">
        <v>3264</v>
      </c>
      <c r="D25" s="20">
        <v>4098</v>
      </c>
      <c r="E25" s="15">
        <v>8.1000000000000003E-2</v>
      </c>
      <c r="F25" s="15">
        <v>44.818899999999999</v>
      </c>
      <c r="G25" s="20">
        <v>2656</v>
      </c>
      <c r="H25" s="20">
        <v>3336</v>
      </c>
      <c r="I25" s="15">
        <v>0.36</v>
      </c>
      <c r="J25" s="15">
        <v>49.422719999999998</v>
      </c>
      <c r="K25" s="20">
        <v>2688</v>
      </c>
      <c r="L25" s="20">
        <v>2939</v>
      </c>
      <c r="M25" s="15">
        <v>0.89500000000000002</v>
      </c>
      <c r="N25" s="15">
        <v>51.272059999999996</v>
      </c>
      <c r="O25" s="1"/>
      <c r="P25" s="1"/>
      <c r="Q25" s="1"/>
    </row>
    <row r="26" spans="1:17" s="5" customFormat="1" ht="16.5" customHeight="1" x14ac:dyDescent="0.25">
      <c r="A26" s="10">
        <v>14</v>
      </c>
      <c r="B26" s="9" t="s">
        <v>39</v>
      </c>
      <c r="C26" s="20">
        <v>5147</v>
      </c>
      <c r="D26" s="20">
        <v>6213</v>
      </c>
      <c r="E26" s="15">
        <v>238.09200000000001</v>
      </c>
      <c r="F26" s="15">
        <v>435.46899999999999</v>
      </c>
      <c r="G26" s="20">
        <v>5032</v>
      </c>
      <c r="H26" s="20">
        <v>5903</v>
      </c>
      <c r="I26" s="15">
        <v>201.97499999999999</v>
      </c>
      <c r="J26" s="15">
        <v>479.911</v>
      </c>
      <c r="K26" s="20">
        <v>4580</v>
      </c>
      <c r="L26" s="20">
        <v>6659</v>
      </c>
      <c r="M26" s="15">
        <v>286.27699999999999</v>
      </c>
      <c r="N26" s="15">
        <v>438.92099999999999</v>
      </c>
      <c r="O26" s="1"/>
      <c r="P26" s="1"/>
      <c r="Q26" s="1"/>
    </row>
    <row r="27" spans="1:17" s="5" customFormat="1" ht="16.5" customHeight="1" x14ac:dyDescent="0.25">
      <c r="A27" s="10">
        <v>15</v>
      </c>
      <c r="B27" s="9" t="s">
        <v>60</v>
      </c>
      <c r="C27" s="20">
        <v>7750</v>
      </c>
      <c r="D27" s="20">
        <v>6161</v>
      </c>
      <c r="E27" s="15">
        <v>36.9923</v>
      </c>
      <c r="F27" s="15">
        <v>114.712</v>
      </c>
      <c r="G27" s="20">
        <v>6836</v>
      </c>
      <c r="H27" s="20">
        <v>6018</v>
      </c>
      <c r="I27" s="15">
        <v>45.504100000000001</v>
      </c>
      <c r="J27" s="15">
        <v>63.685000000000002</v>
      </c>
      <c r="K27" s="20">
        <v>7136</v>
      </c>
      <c r="L27" s="20">
        <v>7707</v>
      </c>
      <c r="M27" s="15">
        <v>47.314300000000003</v>
      </c>
      <c r="N27" s="15">
        <v>20.564</v>
      </c>
      <c r="O27" s="1"/>
      <c r="P27" s="1"/>
      <c r="Q27" s="1"/>
    </row>
    <row r="28" spans="1:17" s="5" customFormat="1" ht="16.5" customHeight="1" x14ac:dyDescent="0.25">
      <c r="A28" s="10">
        <v>16</v>
      </c>
      <c r="B28" s="9" t="s">
        <v>61</v>
      </c>
      <c r="C28" s="20">
        <v>33</v>
      </c>
      <c r="D28" s="20">
        <v>49</v>
      </c>
      <c r="E28" s="15">
        <v>34.353000000000002</v>
      </c>
      <c r="F28" s="15">
        <v>25.986999999999998</v>
      </c>
      <c r="G28" s="20">
        <v>51</v>
      </c>
      <c r="H28" s="20">
        <v>73</v>
      </c>
      <c r="I28" s="15">
        <v>48.177</v>
      </c>
      <c r="J28" s="15">
        <v>37.389000000000003</v>
      </c>
      <c r="K28" s="20">
        <v>64</v>
      </c>
      <c r="L28" s="20">
        <v>78</v>
      </c>
      <c r="M28" s="15">
        <v>40.832999999999998</v>
      </c>
      <c r="N28" s="15">
        <v>39.170999999999999</v>
      </c>
      <c r="O28" s="1"/>
      <c r="P28" s="1"/>
      <c r="Q28" s="1"/>
    </row>
    <row r="29" spans="1:17" s="5" customFormat="1" ht="16.5" customHeight="1" x14ac:dyDescent="0.25">
      <c r="A29" s="10">
        <v>17</v>
      </c>
      <c r="B29" s="9" t="s">
        <v>68</v>
      </c>
      <c r="C29" s="20">
        <v>1776</v>
      </c>
      <c r="D29" s="20">
        <v>1842</v>
      </c>
      <c r="E29" s="15">
        <v>0</v>
      </c>
      <c r="F29" s="15">
        <v>16.920000000000002</v>
      </c>
      <c r="G29" s="20">
        <v>1696</v>
      </c>
      <c r="H29" s="20">
        <v>1828</v>
      </c>
      <c r="I29" s="15">
        <v>1.3</v>
      </c>
      <c r="J29" s="15">
        <v>18.390999999999998</v>
      </c>
      <c r="K29" s="20">
        <v>1752</v>
      </c>
      <c r="L29" s="20">
        <v>2023</v>
      </c>
      <c r="M29" s="15">
        <v>0.45469999999999999</v>
      </c>
      <c r="N29" s="15">
        <v>20.405000000000001</v>
      </c>
      <c r="O29" s="1"/>
      <c r="P29" s="1"/>
      <c r="Q29" s="1"/>
    </row>
    <row r="30" spans="1:17" s="5" customFormat="1" ht="16.5" customHeight="1" x14ac:dyDescent="0.25">
      <c r="A30" s="10">
        <v>18</v>
      </c>
      <c r="B30" s="9" t="s">
        <v>70</v>
      </c>
      <c r="C30" s="20">
        <v>1996</v>
      </c>
      <c r="D30" s="20">
        <v>1893</v>
      </c>
      <c r="E30" s="15">
        <v>0</v>
      </c>
      <c r="F30" s="15">
        <v>0</v>
      </c>
      <c r="G30" s="20">
        <v>568</v>
      </c>
      <c r="H30" s="20">
        <v>807</v>
      </c>
      <c r="I30" s="15">
        <v>0</v>
      </c>
      <c r="J30" s="15">
        <v>0</v>
      </c>
      <c r="K30" s="20">
        <v>1574</v>
      </c>
      <c r="L30" s="20">
        <v>2016</v>
      </c>
      <c r="M30" s="16">
        <v>0</v>
      </c>
      <c r="N30" s="16">
        <v>0</v>
      </c>
      <c r="O30" s="1"/>
      <c r="P30" s="1"/>
      <c r="Q30" s="1"/>
    </row>
    <row r="31" spans="1:17" s="5" customFormat="1" ht="16.5" customHeight="1" x14ac:dyDescent="0.25">
      <c r="A31" s="10">
        <v>19</v>
      </c>
      <c r="B31" s="9" t="s">
        <v>5</v>
      </c>
      <c r="C31" s="20">
        <v>2423</v>
      </c>
      <c r="D31" s="20">
        <v>1863</v>
      </c>
      <c r="E31" s="15">
        <v>0.54700000000000004</v>
      </c>
      <c r="F31" s="15">
        <v>38.991999999999997</v>
      </c>
      <c r="G31" s="20">
        <v>3698</v>
      </c>
      <c r="H31" s="20">
        <v>2874</v>
      </c>
      <c r="I31" s="15">
        <v>0.14499999999999999</v>
      </c>
      <c r="J31" s="15">
        <v>49.37</v>
      </c>
      <c r="K31" s="20">
        <v>3066</v>
      </c>
      <c r="L31" s="20">
        <v>2422</v>
      </c>
      <c r="M31" s="15">
        <v>0.51800000000000002</v>
      </c>
      <c r="N31" s="15">
        <v>56.956000000000003</v>
      </c>
      <c r="O31" s="1"/>
      <c r="P31" s="1"/>
      <c r="Q31" s="1"/>
    </row>
    <row r="32" spans="1:17" s="5" customFormat="1" ht="16.5" customHeight="1" x14ac:dyDescent="0.25">
      <c r="A32" s="10">
        <v>20</v>
      </c>
      <c r="B32" s="9" t="s">
        <v>64</v>
      </c>
      <c r="C32" s="20">
        <v>56949</v>
      </c>
      <c r="D32" s="20">
        <v>62189</v>
      </c>
      <c r="E32" s="15">
        <v>1232.55</v>
      </c>
      <c r="F32" s="15">
        <v>3167.14</v>
      </c>
      <c r="G32" s="21">
        <v>47895</v>
      </c>
      <c r="H32" s="21">
        <v>57190</v>
      </c>
      <c r="I32" s="15">
        <v>1656.7</v>
      </c>
      <c r="J32" s="15">
        <v>2967.42</v>
      </c>
      <c r="K32" s="20">
        <v>40589</v>
      </c>
      <c r="L32" s="20">
        <v>54990</v>
      </c>
      <c r="M32" s="15">
        <v>1561.69</v>
      </c>
      <c r="N32" s="15">
        <v>2969.62</v>
      </c>
      <c r="O32" s="1"/>
      <c r="P32" s="1"/>
      <c r="Q32" s="1"/>
    </row>
    <row r="33" spans="1:17" s="5" customFormat="1" ht="16.5" customHeight="1" x14ac:dyDescent="0.25">
      <c r="A33" s="10">
        <v>21</v>
      </c>
      <c r="B33" s="9" t="s">
        <v>73</v>
      </c>
      <c r="C33" s="20">
        <v>886</v>
      </c>
      <c r="D33" s="20">
        <v>760</v>
      </c>
      <c r="E33" s="15">
        <v>0</v>
      </c>
      <c r="F33" s="15">
        <v>0</v>
      </c>
      <c r="G33" s="21">
        <v>789</v>
      </c>
      <c r="H33" s="21">
        <v>793</v>
      </c>
      <c r="I33" s="15">
        <v>0</v>
      </c>
      <c r="J33" s="15">
        <v>0</v>
      </c>
      <c r="K33" s="20">
        <v>652</v>
      </c>
      <c r="L33" s="20">
        <v>767</v>
      </c>
      <c r="M33" s="15">
        <v>0</v>
      </c>
      <c r="N33" s="15">
        <v>0</v>
      </c>
      <c r="O33" s="1"/>
      <c r="P33" s="1"/>
      <c r="Q33" s="1"/>
    </row>
    <row r="34" spans="1:17" s="5" customFormat="1" ht="16.5" customHeight="1" x14ac:dyDescent="0.25">
      <c r="A34" s="10">
        <v>22</v>
      </c>
      <c r="B34" s="9" t="s">
        <v>6</v>
      </c>
      <c r="C34" s="20">
        <v>43242</v>
      </c>
      <c r="D34" s="20">
        <v>41015</v>
      </c>
      <c r="E34" s="15">
        <v>8400.792300000001</v>
      </c>
      <c r="F34" s="15">
        <v>4163.6056200000003</v>
      </c>
      <c r="G34" s="20">
        <v>31893</v>
      </c>
      <c r="H34" s="20">
        <v>43991</v>
      </c>
      <c r="I34" s="15">
        <v>6795.92</v>
      </c>
      <c r="J34" s="15">
        <v>4836.9826430000003</v>
      </c>
      <c r="K34" s="20">
        <v>40173</v>
      </c>
      <c r="L34" s="20">
        <v>51353</v>
      </c>
      <c r="M34" s="15">
        <v>7761.6797300000007</v>
      </c>
      <c r="N34" s="15">
        <v>5208.1803999999993</v>
      </c>
      <c r="O34" s="1"/>
      <c r="P34" s="1"/>
      <c r="Q34" s="1"/>
    </row>
    <row r="35" spans="1:17" s="5" customFormat="1" ht="16.5" customHeight="1" x14ac:dyDescent="0.25">
      <c r="A35" s="10">
        <v>23</v>
      </c>
      <c r="B35" s="9" t="s">
        <v>53</v>
      </c>
      <c r="C35" s="20">
        <v>0</v>
      </c>
      <c r="D35" s="20">
        <v>0</v>
      </c>
      <c r="E35" s="15">
        <v>144.59</v>
      </c>
      <c r="F35" s="15">
        <v>173.14</v>
      </c>
      <c r="G35" s="20">
        <v>0</v>
      </c>
      <c r="H35" s="20">
        <v>0</v>
      </c>
      <c r="I35" s="15">
        <v>144.40600000000001</v>
      </c>
      <c r="J35" s="15">
        <v>184.43199999999999</v>
      </c>
      <c r="K35" s="20"/>
      <c r="L35" s="20"/>
      <c r="M35" s="15">
        <v>179.77500000000001</v>
      </c>
      <c r="N35" s="15">
        <v>169.67</v>
      </c>
      <c r="O35" s="1"/>
      <c r="P35" s="1"/>
      <c r="Q35" s="1"/>
    </row>
    <row r="36" spans="1:17" s="5" customFormat="1" ht="16.5" customHeight="1" x14ac:dyDescent="0.25">
      <c r="A36" s="10">
        <v>24</v>
      </c>
      <c r="B36" s="9" t="s">
        <v>7</v>
      </c>
      <c r="C36" s="20">
        <v>3591</v>
      </c>
      <c r="D36" s="20">
        <v>3335</v>
      </c>
      <c r="E36" s="15">
        <v>0.42880000000000001</v>
      </c>
      <c r="F36" s="15">
        <v>3.5019</v>
      </c>
      <c r="G36" s="20">
        <v>4694</v>
      </c>
      <c r="H36" s="20">
        <v>4488</v>
      </c>
      <c r="I36" s="15">
        <v>0.75479999999999992</v>
      </c>
      <c r="J36" s="15">
        <v>2.6385000000000001</v>
      </c>
      <c r="K36" s="20">
        <v>3956</v>
      </c>
      <c r="L36" s="20">
        <v>4030</v>
      </c>
      <c r="M36" s="15">
        <v>0.28549999999999998</v>
      </c>
      <c r="N36" s="15">
        <v>0.94669999999999999</v>
      </c>
      <c r="O36" s="1"/>
      <c r="P36" s="1"/>
      <c r="Q36" s="1"/>
    </row>
    <row r="37" spans="1:17" s="5" customFormat="1" ht="16.5" customHeight="1" x14ac:dyDescent="0.25">
      <c r="A37" s="10">
        <v>25</v>
      </c>
      <c r="B37" s="11" t="s">
        <v>77</v>
      </c>
      <c r="C37" s="20">
        <v>3818</v>
      </c>
      <c r="D37" s="20">
        <v>4542</v>
      </c>
      <c r="E37" s="15">
        <v>13.875</v>
      </c>
      <c r="F37" s="15">
        <v>258.22699999999998</v>
      </c>
      <c r="G37" s="21">
        <v>2913</v>
      </c>
      <c r="H37" s="21">
        <v>3751</v>
      </c>
      <c r="I37" s="15">
        <v>50.619</v>
      </c>
      <c r="J37" s="15">
        <v>208.87899999999999</v>
      </c>
      <c r="K37" s="20">
        <v>958</v>
      </c>
      <c r="L37" s="20">
        <v>2259</v>
      </c>
      <c r="M37" s="15">
        <v>41.054000000000002</v>
      </c>
      <c r="N37" s="15">
        <v>116.125</v>
      </c>
      <c r="O37" s="1"/>
      <c r="P37" s="1"/>
      <c r="Q37" s="1"/>
    </row>
    <row r="38" spans="1:17" s="5" customFormat="1" ht="16.5" customHeight="1" x14ac:dyDescent="0.25">
      <c r="A38" s="10">
        <v>26</v>
      </c>
      <c r="B38" s="9" t="s">
        <v>31</v>
      </c>
      <c r="C38" s="20">
        <v>250760</v>
      </c>
      <c r="D38" s="20">
        <v>260576</v>
      </c>
      <c r="E38" s="15">
        <v>5312.6020799999997</v>
      </c>
      <c r="F38" s="15">
        <v>9309.5796499999997</v>
      </c>
      <c r="G38" s="20">
        <v>213327</v>
      </c>
      <c r="H38" s="20">
        <v>238614</v>
      </c>
      <c r="I38" s="15">
        <v>5059.3372099999997</v>
      </c>
      <c r="J38" s="15">
        <v>12178.636966999999</v>
      </c>
      <c r="K38" s="20">
        <v>215925</v>
      </c>
      <c r="L38" s="20">
        <v>239229</v>
      </c>
      <c r="M38" s="15">
        <v>6622.5966339999995</v>
      </c>
      <c r="N38" s="15">
        <v>12167.340047000002</v>
      </c>
      <c r="O38" s="1"/>
      <c r="P38" s="1"/>
      <c r="Q38" s="1"/>
    </row>
    <row r="39" spans="1:17" s="5" customFormat="1" ht="16.5" customHeight="1" x14ac:dyDescent="0.25">
      <c r="A39" s="10">
        <v>27</v>
      </c>
      <c r="B39" s="9" t="s">
        <v>32</v>
      </c>
      <c r="C39" s="20">
        <v>26158</v>
      </c>
      <c r="D39" s="20">
        <v>31474</v>
      </c>
      <c r="E39" s="15">
        <v>257.279</v>
      </c>
      <c r="F39" s="15">
        <v>1126.663</v>
      </c>
      <c r="G39" s="20">
        <v>27318</v>
      </c>
      <c r="H39" s="20">
        <v>27899</v>
      </c>
      <c r="I39" s="15">
        <v>443.221</v>
      </c>
      <c r="J39" s="15">
        <v>1131.5309999999999</v>
      </c>
      <c r="K39" s="20">
        <v>22801</v>
      </c>
      <c r="L39" s="20">
        <v>30133</v>
      </c>
      <c r="M39" s="15">
        <v>522.29499999999996</v>
      </c>
      <c r="N39" s="15">
        <v>1427.769</v>
      </c>
      <c r="O39" s="1"/>
      <c r="P39" s="1"/>
      <c r="Q39" s="1"/>
    </row>
    <row r="40" spans="1:17" s="5" customFormat="1" ht="16.5" customHeight="1" x14ac:dyDescent="0.25">
      <c r="A40" s="10">
        <v>28</v>
      </c>
      <c r="B40" s="9" t="s">
        <v>78</v>
      </c>
      <c r="C40" s="20">
        <v>119458</v>
      </c>
      <c r="D40" s="20">
        <v>128761</v>
      </c>
      <c r="E40" s="15">
        <v>1399.2958999999998</v>
      </c>
      <c r="F40" s="15">
        <v>2734.1864999999998</v>
      </c>
      <c r="G40" s="20">
        <v>102120</v>
      </c>
      <c r="H40" s="20">
        <v>111509</v>
      </c>
      <c r="I40" s="15">
        <v>1417.9313</v>
      </c>
      <c r="J40" s="15">
        <v>1945.5409999999999</v>
      </c>
      <c r="K40" s="20">
        <v>115498</v>
      </c>
      <c r="L40" s="20">
        <v>127237</v>
      </c>
      <c r="M40" s="15">
        <v>1460.9849999999999</v>
      </c>
      <c r="N40" s="15">
        <v>2711.4720000000002</v>
      </c>
      <c r="O40" s="1"/>
      <c r="P40" s="1"/>
      <c r="Q40" s="1"/>
    </row>
    <row r="41" spans="1:17" s="5" customFormat="1" ht="16.5" customHeight="1" x14ac:dyDescent="0.25">
      <c r="A41" s="10">
        <v>29</v>
      </c>
      <c r="B41" s="9" t="s">
        <v>8</v>
      </c>
      <c r="C41" s="20">
        <v>0</v>
      </c>
      <c r="D41" s="20">
        <v>0</v>
      </c>
      <c r="E41" s="15">
        <v>1077.3579999999999</v>
      </c>
      <c r="F41" s="15">
        <v>2652.3180000000002</v>
      </c>
      <c r="G41" s="20">
        <v>0</v>
      </c>
      <c r="H41" s="20">
        <v>0</v>
      </c>
      <c r="I41" s="15">
        <v>792.46100000000001</v>
      </c>
      <c r="J41" s="15">
        <v>2479.0439999999999</v>
      </c>
      <c r="K41" s="20">
        <v>0</v>
      </c>
      <c r="L41" s="20">
        <v>0</v>
      </c>
      <c r="M41" s="16">
        <v>1184.3109999999999</v>
      </c>
      <c r="N41" s="16">
        <v>2957.924</v>
      </c>
      <c r="O41" s="1"/>
      <c r="P41" s="1"/>
      <c r="Q41" s="1"/>
    </row>
    <row r="42" spans="1:17" s="5" customFormat="1" ht="16.5" customHeight="1" x14ac:dyDescent="0.25">
      <c r="A42" s="10">
        <v>30</v>
      </c>
      <c r="B42" s="9" t="s">
        <v>79</v>
      </c>
      <c r="C42" s="20">
        <v>5561</v>
      </c>
      <c r="D42" s="20">
        <v>6772</v>
      </c>
      <c r="E42" s="15">
        <v>148.63800000000001</v>
      </c>
      <c r="F42" s="15">
        <v>345.17</v>
      </c>
      <c r="G42" s="20">
        <v>6804</v>
      </c>
      <c r="H42" s="20">
        <v>6410</v>
      </c>
      <c r="I42" s="15">
        <v>196.91300000000001</v>
      </c>
      <c r="J42" s="15">
        <v>319.55200000000002</v>
      </c>
      <c r="K42" s="20">
        <v>3857</v>
      </c>
      <c r="L42" s="20">
        <v>5953</v>
      </c>
      <c r="M42" s="16">
        <v>153.834</v>
      </c>
      <c r="N42" s="16">
        <v>288.69200000000001</v>
      </c>
      <c r="O42" s="1"/>
      <c r="P42" s="1"/>
      <c r="Q42" s="1"/>
    </row>
    <row r="43" spans="1:17" s="5" customFormat="1" ht="16.5" customHeight="1" x14ac:dyDescent="0.25">
      <c r="A43" s="10">
        <v>31</v>
      </c>
      <c r="B43" s="9" t="s">
        <v>90</v>
      </c>
      <c r="C43" s="20">
        <v>2724</v>
      </c>
      <c r="D43" s="20">
        <v>2510</v>
      </c>
      <c r="E43" s="15">
        <v>3.206</v>
      </c>
      <c r="F43" s="15">
        <v>36.353999999999999</v>
      </c>
      <c r="G43" s="20">
        <v>1545</v>
      </c>
      <c r="H43" s="20">
        <v>1315</v>
      </c>
      <c r="I43" s="15">
        <v>2.056</v>
      </c>
      <c r="J43" s="15">
        <v>15.307</v>
      </c>
      <c r="K43" s="20"/>
      <c r="L43" s="20"/>
      <c r="M43" s="16">
        <v>0</v>
      </c>
      <c r="N43" s="16">
        <v>0</v>
      </c>
      <c r="O43" s="1"/>
      <c r="P43" s="1"/>
      <c r="Q43" s="1"/>
    </row>
    <row r="44" spans="1:17" s="5" customFormat="1" ht="16.5" customHeight="1" x14ac:dyDescent="0.25">
      <c r="A44" s="10">
        <v>32</v>
      </c>
      <c r="B44" s="9" t="s">
        <v>44</v>
      </c>
      <c r="C44" s="20">
        <v>20955</v>
      </c>
      <c r="D44" s="20">
        <v>21661</v>
      </c>
      <c r="E44" s="15">
        <v>4.9950000000000001</v>
      </c>
      <c r="F44" s="15">
        <v>132.05500000000001</v>
      </c>
      <c r="G44" s="20">
        <v>19209</v>
      </c>
      <c r="H44" s="20">
        <v>20049</v>
      </c>
      <c r="I44" s="15">
        <v>5.14</v>
      </c>
      <c r="J44" s="15">
        <v>128.29051000000001</v>
      </c>
      <c r="K44" s="20">
        <v>20458</v>
      </c>
      <c r="L44" s="20">
        <v>20966</v>
      </c>
      <c r="M44" s="16">
        <v>7.0419999999999998</v>
      </c>
      <c r="N44" s="16">
        <v>175.51547999999997</v>
      </c>
      <c r="O44" s="1"/>
      <c r="P44" s="1"/>
      <c r="Q44" s="1"/>
    </row>
    <row r="45" spans="1:17" s="5" customFormat="1" ht="16.5" customHeight="1" x14ac:dyDescent="0.25">
      <c r="A45" s="10">
        <v>33</v>
      </c>
      <c r="B45" s="9" t="s">
        <v>54</v>
      </c>
      <c r="C45" s="20">
        <v>23356</v>
      </c>
      <c r="D45" s="20">
        <v>25268</v>
      </c>
      <c r="E45" s="15">
        <v>10.898999999999999</v>
      </c>
      <c r="F45" s="15">
        <v>224.19</v>
      </c>
      <c r="G45" s="20">
        <v>20705</v>
      </c>
      <c r="H45" s="20">
        <v>22278</v>
      </c>
      <c r="I45" s="15">
        <v>7.6029999999999998</v>
      </c>
      <c r="J45" s="15">
        <v>190.19900000000001</v>
      </c>
      <c r="K45" s="20">
        <v>18764</v>
      </c>
      <c r="L45" s="20">
        <v>17973</v>
      </c>
      <c r="M45" s="16">
        <v>14.686</v>
      </c>
      <c r="N45" s="16">
        <v>211.166</v>
      </c>
      <c r="O45" s="1"/>
      <c r="P45" s="1"/>
      <c r="Q45" s="1"/>
    </row>
    <row r="46" spans="1:17" s="5" customFormat="1" ht="16.5" customHeight="1" x14ac:dyDescent="0.25">
      <c r="A46" s="10">
        <v>34</v>
      </c>
      <c r="B46" s="9" t="s">
        <v>33</v>
      </c>
      <c r="C46" s="20">
        <v>40319</v>
      </c>
      <c r="D46" s="20">
        <v>47009</v>
      </c>
      <c r="E46" s="15">
        <v>4.718</v>
      </c>
      <c r="F46" s="15">
        <v>375.27300000000002</v>
      </c>
      <c r="G46" s="20">
        <v>33250</v>
      </c>
      <c r="H46" s="20">
        <v>41875</v>
      </c>
      <c r="I46" s="15">
        <v>10.263</v>
      </c>
      <c r="J46" s="15">
        <v>348.01600000000002</v>
      </c>
      <c r="K46" s="20">
        <v>37683</v>
      </c>
      <c r="L46" s="20">
        <v>37005</v>
      </c>
      <c r="M46" s="16">
        <v>10.478</v>
      </c>
      <c r="N46" s="16">
        <v>482.97899999999998</v>
      </c>
      <c r="O46" s="1"/>
      <c r="P46" s="1"/>
      <c r="Q46" s="1"/>
    </row>
    <row r="47" spans="1:17" s="5" customFormat="1" ht="16.5" customHeight="1" x14ac:dyDescent="0.25">
      <c r="A47" s="10">
        <v>35</v>
      </c>
      <c r="B47" s="9" t="s">
        <v>80</v>
      </c>
      <c r="C47" s="20">
        <v>845</v>
      </c>
      <c r="D47" s="20">
        <v>728</v>
      </c>
      <c r="E47" s="15">
        <v>9.0449999999999999</v>
      </c>
      <c r="F47" s="15">
        <v>29.436</v>
      </c>
      <c r="G47" s="20">
        <v>801</v>
      </c>
      <c r="H47" s="20">
        <v>599</v>
      </c>
      <c r="I47" s="15">
        <v>2.7E-2</v>
      </c>
      <c r="J47" s="15">
        <v>9.9030000000000005</v>
      </c>
      <c r="K47" s="20">
        <v>697</v>
      </c>
      <c r="L47" s="20">
        <v>503</v>
      </c>
      <c r="M47" s="16">
        <v>1.7969999999999999</v>
      </c>
      <c r="N47" s="16">
        <v>24.202999999999999</v>
      </c>
      <c r="O47" s="1"/>
      <c r="P47" s="1"/>
      <c r="Q47" s="1"/>
    </row>
    <row r="48" spans="1:17" s="5" customFormat="1" ht="16.5" customHeight="1" x14ac:dyDescent="0.25">
      <c r="A48" s="10">
        <v>36</v>
      </c>
      <c r="B48" s="9" t="s">
        <v>9</v>
      </c>
      <c r="C48" s="20">
        <v>2473</v>
      </c>
      <c r="D48" s="20">
        <v>2131</v>
      </c>
      <c r="E48" s="15">
        <v>0</v>
      </c>
      <c r="F48" s="15">
        <v>1.5</v>
      </c>
      <c r="G48" s="20">
        <v>2712</v>
      </c>
      <c r="H48" s="20">
        <v>2312</v>
      </c>
      <c r="I48" s="15">
        <v>0</v>
      </c>
      <c r="J48" s="15">
        <v>0.8</v>
      </c>
      <c r="K48" s="20">
        <v>2899</v>
      </c>
      <c r="L48" s="20">
        <v>2390</v>
      </c>
      <c r="M48" s="16">
        <v>0.12</v>
      </c>
      <c r="N48" s="16">
        <v>1.9</v>
      </c>
      <c r="O48" s="1"/>
      <c r="P48" s="1"/>
      <c r="Q48" s="1"/>
    </row>
    <row r="49" spans="1:17" s="5" customFormat="1" ht="16.5" customHeight="1" x14ac:dyDescent="0.25">
      <c r="A49" s="10">
        <v>37</v>
      </c>
      <c r="B49" s="9" t="s">
        <v>10</v>
      </c>
      <c r="C49" s="20">
        <v>2687</v>
      </c>
      <c r="D49" s="20">
        <v>3127</v>
      </c>
      <c r="E49" s="15">
        <v>0</v>
      </c>
      <c r="F49" s="15">
        <v>1.1020000000000001</v>
      </c>
      <c r="G49" s="20">
        <v>2446</v>
      </c>
      <c r="H49" s="20">
        <v>2277</v>
      </c>
      <c r="I49" s="15">
        <v>0</v>
      </c>
      <c r="J49" s="15">
        <v>0.49299999999999999</v>
      </c>
      <c r="K49" s="20">
        <v>2492</v>
      </c>
      <c r="L49" s="20">
        <v>2146</v>
      </c>
      <c r="M49" s="16">
        <v>0</v>
      </c>
      <c r="N49" s="16">
        <v>17.091000000000001</v>
      </c>
      <c r="O49" s="1"/>
      <c r="P49" s="1"/>
      <c r="Q49" s="1"/>
    </row>
    <row r="50" spans="1:17" s="5" customFormat="1" ht="16.5" customHeight="1" x14ac:dyDescent="0.25">
      <c r="A50" s="10">
        <v>38</v>
      </c>
      <c r="B50" s="9" t="s">
        <v>96</v>
      </c>
      <c r="C50" s="20">
        <v>7620</v>
      </c>
      <c r="D50" s="20">
        <v>7505</v>
      </c>
      <c r="E50" s="15">
        <v>243.25899999999999</v>
      </c>
      <c r="F50" s="15">
        <v>263.411</v>
      </c>
      <c r="G50" s="20">
        <v>6943</v>
      </c>
      <c r="H50" s="20">
        <v>6855</v>
      </c>
      <c r="I50" s="15">
        <v>213.07900000000001</v>
      </c>
      <c r="J50" s="15">
        <v>313.61</v>
      </c>
      <c r="K50" s="20">
        <v>5292</v>
      </c>
      <c r="L50" s="20">
        <v>8208</v>
      </c>
      <c r="M50" s="16">
        <v>231.49</v>
      </c>
      <c r="N50" s="16">
        <v>289.45</v>
      </c>
      <c r="O50" s="1"/>
      <c r="P50" s="1"/>
      <c r="Q50" s="1"/>
    </row>
    <row r="51" spans="1:17" s="5" customFormat="1" ht="16.5" customHeight="1" x14ac:dyDescent="0.25">
      <c r="A51" s="10">
        <v>39</v>
      </c>
      <c r="B51" s="9" t="s">
        <v>11</v>
      </c>
      <c r="C51" s="20">
        <v>5646</v>
      </c>
      <c r="D51" s="20">
        <v>6712</v>
      </c>
      <c r="E51" s="15">
        <v>406.88</v>
      </c>
      <c r="F51" s="15">
        <v>135.91800000000001</v>
      </c>
      <c r="G51" s="20">
        <v>5702</v>
      </c>
      <c r="H51" s="20">
        <v>6279</v>
      </c>
      <c r="I51" s="15">
        <v>323.62799999999999</v>
      </c>
      <c r="J51" s="15">
        <v>171.773</v>
      </c>
      <c r="K51" s="20">
        <v>5410</v>
      </c>
      <c r="L51" s="20">
        <v>6810</v>
      </c>
      <c r="M51" s="16">
        <v>392.75799999999998</v>
      </c>
      <c r="N51" s="16">
        <v>261.048</v>
      </c>
      <c r="O51" s="1"/>
      <c r="P51" s="1"/>
      <c r="Q51" s="1"/>
    </row>
    <row r="52" spans="1:17" s="5" customFormat="1" ht="16.5" customHeight="1" x14ac:dyDescent="0.25">
      <c r="A52" s="10">
        <v>40</v>
      </c>
      <c r="B52" s="9" t="s">
        <v>48</v>
      </c>
      <c r="C52" s="20">
        <v>13464</v>
      </c>
      <c r="D52" s="20">
        <v>15170</v>
      </c>
      <c r="E52" s="15">
        <v>25.9223</v>
      </c>
      <c r="F52" s="15">
        <v>181.99744000000001</v>
      </c>
      <c r="G52" s="20">
        <v>11036</v>
      </c>
      <c r="H52" s="20">
        <v>13394</v>
      </c>
      <c r="I52" s="15">
        <v>15.084</v>
      </c>
      <c r="J52" s="15">
        <v>161.67801</v>
      </c>
      <c r="K52" s="20">
        <v>9670</v>
      </c>
      <c r="L52" s="20">
        <v>12376</v>
      </c>
      <c r="M52" s="15">
        <v>32.932319999999997</v>
      </c>
      <c r="N52" s="15">
        <v>214.09489000000002</v>
      </c>
      <c r="O52" s="1"/>
      <c r="P52" s="1"/>
      <c r="Q52" s="1"/>
    </row>
    <row r="53" spans="1:17" s="5" customFormat="1" ht="16.5" customHeight="1" x14ac:dyDescent="0.25">
      <c r="A53" s="10">
        <v>41</v>
      </c>
      <c r="B53" s="9" t="s">
        <v>12</v>
      </c>
      <c r="C53" s="20">
        <v>6168</v>
      </c>
      <c r="D53" s="20">
        <v>7850</v>
      </c>
      <c r="E53" s="15">
        <v>0.26500000000000001</v>
      </c>
      <c r="F53" s="15">
        <v>11.912000000000001</v>
      </c>
      <c r="G53" s="20">
        <v>4384</v>
      </c>
      <c r="H53" s="20">
        <v>6398</v>
      </c>
      <c r="I53" s="15">
        <v>0.31</v>
      </c>
      <c r="J53" s="15">
        <v>25.26</v>
      </c>
      <c r="K53" s="20">
        <v>4467</v>
      </c>
      <c r="L53" s="20">
        <v>5680</v>
      </c>
      <c r="M53" s="15">
        <v>3.8079999999999998</v>
      </c>
      <c r="N53" s="15">
        <v>26.931000000000001</v>
      </c>
      <c r="O53" s="1"/>
      <c r="P53" s="1"/>
      <c r="Q53" s="1"/>
    </row>
    <row r="54" spans="1:17" s="5" customFormat="1" ht="16.5" customHeight="1" x14ac:dyDescent="0.25">
      <c r="A54" s="10">
        <v>42</v>
      </c>
      <c r="B54" s="9" t="s">
        <v>37</v>
      </c>
      <c r="C54" s="20">
        <v>27012</v>
      </c>
      <c r="D54" s="20">
        <v>29189</v>
      </c>
      <c r="E54" s="15">
        <v>866.19500000000005</v>
      </c>
      <c r="F54" s="15">
        <v>1188.4490000000001</v>
      </c>
      <c r="G54" s="20">
        <v>26719</v>
      </c>
      <c r="H54" s="20">
        <v>28247</v>
      </c>
      <c r="I54" s="15">
        <v>1126.1389999999999</v>
      </c>
      <c r="J54" s="15">
        <v>1196.777</v>
      </c>
      <c r="K54" s="20">
        <v>21907</v>
      </c>
      <c r="L54" s="20">
        <v>27985</v>
      </c>
      <c r="M54" s="15">
        <v>1233.9390000000001</v>
      </c>
      <c r="N54" s="15">
        <v>1352.375</v>
      </c>
      <c r="O54" s="1"/>
      <c r="P54" s="1"/>
      <c r="Q54" s="1"/>
    </row>
    <row r="55" spans="1:17" s="5" customFormat="1" ht="16.5" customHeight="1" x14ac:dyDescent="0.25">
      <c r="A55" s="10">
        <v>43</v>
      </c>
      <c r="B55" s="9" t="s">
        <v>13</v>
      </c>
      <c r="C55" s="20">
        <v>4091</v>
      </c>
      <c r="D55" s="20">
        <v>3723</v>
      </c>
      <c r="E55" s="15">
        <v>413.70659999999998</v>
      </c>
      <c r="F55" s="15">
        <v>484.25130000000001</v>
      </c>
      <c r="G55" s="20">
        <v>2915</v>
      </c>
      <c r="H55" s="20">
        <v>3304</v>
      </c>
      <c r="I55" s="15">
        <v>361.94600000000003</v>
      </c>
      <c r="J55" s="15">
        <v>784.96500000000003</v>
      </c>
      <c r="K55" s="20">
        <v>2583</v>
      </c>
      <c r="L55" s="20">
        <v>3820</v>
      </c>
      <c r="M55" s="15">
        <v>387.13099999999997</v>
      </c>
      <c r="N55" s="15">
        <v>523.25599999999997</v>
      </c>
      <c r="O55" s="1"/>
      <c r="P55" s="1"/>
      <c r="Q55" s="1"/>
    </row>
    <row r="56" spans="1:17" s="5" customFormat="1" ht="16.5" customHeight="1" x14ac:dyDescent="0.25">
      <c r="A56" s="10">
        <v>44</v>
      </c>
      <c r="B56" s="9" t="s">
        <v>42</v>
      </c>
      <c r="C56" s="20">
        <v>21157</v>
      </c>
      <c r="D56" s="20">
        <v>28349</v>
      </c>
      <c r="E56" s="15">
        <v>0</v>
      </c>
      <c r="F56" s="15">
        <v>848.60799999999995</v>
      </c>
      <c r="G56" s="20">
        <v>16722</v>
      </c>
      <c r="H56" s="20">
        <v>25698</v>
      </c>
      <c r="I56" s="15">
        <v>0</v>
      </c>
      <c r="J56" s="15">
        <v>914.20100000000002</v>
      </c>
      <c r="K56" s="20">
        <v>20282</v>
      </c>
      <c r="L56" s="20">
        <v>23742</v>
      </c>
      <c r="M56" s="15">
        <v>0</v>
      </c>
      <c r="N56" s="15">
        <v>1107.3779999999999</v>
      </c>
      <c r="O56" s="1"/>
      <c r="P56" s="1"/>
      <c r="Q56" s="1"/>
    </row>
    <row r="57" spans="1:17" s="5" customFormat="1" ht="16.5" customHeight="1" x14ac:dyDescent="0.25">
      <c r="A57" s="10">
        <v>45</v>
      </c>
      <c r="B57" s="9" t="s">
        <v>81</v>
      </c>
      <c r="C57" s="20">
        <v>4916</v>
      </c>
      <c r="D57" s="20">
        <v>5249</v>
      </c>
      <c r="E57" s="15">
        <v>37.286000000000001</v>
      </c>
      <c r="F57" s="15">
        <v>241.08099999999999</v>
      </c>
      <c r="G57" s="20">
        <v>4981</v>
      </c>
      <c r="H57" s="20">
        <v>5032</v>
      </c>
      <c r="I57" s="15">
        <v>30.756</v>
      </c>
      <c r="J57" s="15">
        <v>245.86099999999999</v>
      </c>
      <c r="K57" s="20">
        <v>4224</v>
      </c>
      <c r="L57" s="20">
        <v>5732</v>
      </c>
      <c r="M57" s="15">
        <v>41.847000000000001</v>
      </c>
      <c r="N57" s="15">
        <v>281.63200000000001</v>
      </c>
      <c r="O57" s="1"/>
      <c r="P57" s="1"/>
      <c r="Q57" s="1"/>
    </row>
    <row r="58" spans="1:17" s="5" customFormat="1" ht="16.5" customHeight="1" x14ac:dyDescent="0.25">
      <c r="A58" s="10">
        <v>46</v>
      </c>
      <c r="B58" s="9" t="s">
        <v>14</v>
      </c>
      <c r="C58" s="20">
        <v>62000</v>
      </c>
      <c r="D58" s="20">
        <v>68167</v>
      </c>
      <c r="E58" s="15">
        <v>1840.76</v>
      </c>
      <c r="F58" s="15">
        <v>2306.1849999999999</v>
      </c>
      <c r="G58" s="20">
        <v>54591</v>
      </c>
      <c r="H58" s="20">
        <v>59804</v>
      </c>
      <c r="I58" s="15">
        <v>1864.5360000000001</v>
      </c>
      <c r="J58" s="15">
        <v>1995.489</v>
      </c>
      <c r="K58" s="20">
        <v>41863</v>
      </c>
      <c r="L58" s="20">
        <v>63358</v>
      </c>
      <c r="M58" s="15">
        <v>2297.3910000000001</v>
      </c>
      <c r="N58" s="15">
        <v>2511.721</v>
      </c>
      <c r="O58" s="1"/>
      <c r="P58" s="1"/>
      <c r="Q58" s="1"/>
    </row>
    <row r="59" spans="1:17" s="5" customFormat="1" ht="16.5" customHeight="1" x14ac:dyDescent="0.25">
      <c r="A59" s="10">
        <v>47</v>
      </c>
      <c r="B59" s="9" t="s">
        <v>15</v>
      </c>
      <c r="C59" s="20">
        <v>1914</v>
      </c>
      <c r="D59" s="20">
        <v>2198</v>
      </c>
      <c r="E59" s="15">
        <v>9.5370000000000008</v>
      </c>
      <c r="F59" s="15">
        <v>103.188</v>
      </c>
      <c r="G59" s="20">
        <v>2299</v>
      </c>
      <c r="H59" s="20">
        <v>1706</v>
      </c>
      <c r="I59" s="15">
        <v>11.55</v>
      </c>
      <c r="J59" s="15">
        <v>95.3001</v>
      </c>
      <c r="K59" s="20">
        <v>2603</v>
      </c>
      <c r="L59" s="20">
        <v>1561</v>
      </c>
      <c r="M59" s="15">
        <v>8.5890000000000004</v>
      </c>
      <c r="N59" s="15">
        <v>105.866</v>
      </c>
      <c r="O59" s="1"/>
      <c r="P59" s="1"/>
      <c r="Q59" s="1"/>
    </row>
    <row r="60" spans="1:17" s="5" customFormat="1" ht="16.5" customHeight="1" x14ac:dyDescent="0.25">
      <c r="A60" s="10">
        <v>48</v>
      </c>
      <c r="B60" s="9" t="s">
        <v>16</v>
      </c>
      <c r="C60" s="20">
        <v>55018</v>
      </c>
      <c r="D60" s="20">
        <v>60216</v>
      </c>
      <c r="E60" s="15">
        <v>1403.126</v>
      </c>
      <c r="F60" s="15">
        <v>1613.501</v>
      </c>
      <c r="G60" s="20">
        <v>44689</v>
      </c>
      <c r="H60" s="20">
        <v>58931</v>
      </c>
      <c r="I60" s="15">
        <v>1199.808</v>
      </c>
      <c r="J60" s="15">
        <v>1584.4639999999999</v>
      </c>
      <c r="K60" s="20">
        <v>51058</v>
      </c>
      <c r="L60" s="20">
        <v>59299</v>
      </c>
      <c r="M60" s="15">
        <v>1470.646</v>
      </c>
      <c r="N60" s="15">
        <v>1685.0630000000001</v>
      </c>
      <c r="O60" s="1"/>
      <c r="P60" s="1"/>
      <c r="Q60" s="1"/>
    </row>
    <row r="61" spans="1:17" s="5" customFormat="1" ht="16.5" customHeight="1" x14ac:dyDescent="0.25">
      <c r="A61" s="10">
        <v>49</v>
      </c>
      <c r="B61" s="9" t="s">
        <v>43</v>
      </c>
      <c r="C61" s="20">
        <v>25966</v>
      </c>
      <c r="D61" s="20">
        <v>22660</v>
      </c>
      <c r="E61" s="15">
        <v>90.286000000000001</v>
      </c>
      <c r="F61" s="15">
        <v>76.207999999999998</v>
      </c>
      <c r="G61" s="20">
        <v>17801</v>
      </c>
      <c r="H61" s="20">
        <v>22375</v>
      </c>
      <c r="I61" s="15">
        <v>30.651</v>
      </c>
      <c r="J61" s="15">
        <v>88.677999999999997</v>
      </c>
      <c r="K61" s="20">
        <v>14841</v>
      </c>
      <c r="L61" s="20">
        <v>15639</v>
      </c>
      <c r="M61" s="15">
        <v>66.02</v>
      </c>
      <c r="N61" s="15">
        <v>93.823999999999998</v>
      </c>
      <c r="O61" s="1"/>
      <c r="P61" s="1"/>
      <c r="Q61" s="1"/>
    </row>
    <row r="62" spans="1:17" s="5" customFormat="1" ht="16.5" customHeight="1" x14ac:dyDescent="0.25">
      <c r="A62" s="10">
        <v>50</v>
      </c>
      <c r="B62" s="9" t="s">
        <v>45</v>
      </c>
      <c r="C62" s="20">
        <v>1851</v>
      </c>
      <c r="D62" s="20">
        <v>1409</v>
      </c>
      <c r="E62" s="15">
        <v>8.4</v>
      </c>
      <c r="F62" s="15">
        <v>5.141</v>
      </c>
      <c r="G62" s="20">
        <v>1096</v>
      </c>
      <c r="H62" s="20">
        <v>964</v>
      </c>
      <c r="I62" s="15">
        <v>1.9E-2</v>
      </c>
      <c r="J62" s="15">
        <v>4.8190799999999996</v>
      </c>
      <c r="K62" s="20">
        <v>1355</v>
      </c>
      <c r="L62" s="20">
        <v>1263</v>
      </c>
      <c r="M62" s="15">
        <v>0</v>
      </c>
      <c r="N62" s="15">
        <v>3.05775</v>
      </c>
      <c r="O62" s="1"/>
      <c r="P62" s="1"/>
      <c r="Q62" s="1"/>
    </row>
    <row r="63" spans="1:17" s="5" customFormat="1" ht="16.5" customHeight="1" x14ac:dyDescent="0.25">
      <c r="A63" s="10">
        <v>51</v>
      </c>
      <c r="B63" s="9" t="s">
        <v>71</v>
      </c>
      <c r="C63" s="20">
        <v>4391</v>
      </c>
      <c r="D63" s="20">
        <v>4115</v>
      </c>
      <c r="E63" s="15">
        <v>0</v>
      </c>
      <c r="F63" s="15">
        <v>0</v>
      </c>
      <c r="G63" s="20">
        <v>3084</v>
      </c>
      <c r="H63" s="20">
        <v>3018</v>
      </c>
      <c r="I63" s="15">
        <v>0</v>
      </c>
      <c r="J63" s="15">
        <v>0</v>
      </c>
      <c r="K63" s="20">
        <v>2302</v>
      </c>
      <c r="L63" s="20">
        <v>3904</v>
      </c>
      <c r="M63" s="15">
        <v>0</v>
      </c>
      <c r="N63" s="15">
        <v>0</v>
      </c>
      <c r="O63" s="1"/>
      <c r="P63" s="1"/>
      <c r="Q63" s="1"/>
    </row>
    <row r="64" spans="1:17" s="5" customFormat="1" ht="16.5" customHeight="1" x14ac:dyDescent="0.25">
      <c r="A64" s="10">
        <v>52</v>
      </c>
      <c r="B64" s="9" t="s">
        <v>46</v>
      </c>
      <c r="C64" s="20">
        <v>8419</v>
      </c>
      <c r="D64" s="20">
        <v>8286</v>
      </c>
      <c r="E64" s="15">
        <v>33.216000000000001</v>
      </c>
      <c r="F64" s="15">
        <v>16.338999999999999</v>
      </c>
      <c r="G64" s="20">
        <v>8047</v>
      </c>
      <c r="H64" s="20">
        <v>8406</v>
      </c>
      <c r="I64" s="15">
        <v>32.834000000000003</v>
      </c>
      <c r="J64" s="15">
        <v>18.338999999999999</v>
      </c>
      <c r="K64" s="20">
        <v>9148</v>
      </c>
      <c r="L64" s="20">
        <v>9240</v>
      </c>
      <c r="M64" s="15">
        <v>36.110999999999997</v>
      </c>
      <c r="N64" s="15">
        <v>22.486000000000001</v>
      </c>
      <c r="O64" s="1"/>
      <c r="P64" s="1"/>
      <c r="Q64" s="1"/>
    </row>
    <row r="65" spans="1:17" s="5" customFormat="1" ht="16.5" customHeight="1" x14ac:dyDescent="0.25">
      <c r="A65" s="10">
        <v>53</v>
      </c>
      <c r="B65" s="9" t="s">
        <v>97</v>
      </c>
      <c r="C65" s="20">
        <v>0</v>
      </c>
      <c r="D65" s="20">
        <v>0</v>
      </c>
      <c r="E65" s="15">
        <v>0</v>
      </c>
      <c r="F65" s="15">
        <v>0</v>
      </c>
      <c r="G65" s="20"/>
      <c r="H65" s="20"/>
      <c r="I65" s="15">
        <v>0</v>
      </c>
      <c r="J65" s="15">
        <v>0</v>
      </c>
      <c r="K65" s="20"/>
      <c r="L65" s="20"/>
      <c r="M65" s="15">
        <v>0</v>
      </c>
      <c r="N65" s="15">
        <v>0</v>
      </c>
      <c r="O65" s="1"/>
      <c r="P65" s="1"/>
      <c r="Q65" s="1"/>
    </row>
    <row r="66" spans="1:17" s="5" customFormat="1" ht="16.5" customHeight="1" x14ac:dyDescent="0.25">
      <c r="A66" s="10">
        <v>54</v>
      </c>
      <c r="B66" s="9" t="s">
        <v>17</v>
      </c>
      <c r="C66" s="20">
        <v>57340</v>
      </c>
      <c r="D66" s="20">
        <v>63967</v>
      </c>
      <c r="E66" s="15">
        <v>214.11250000000001</v>
      </c>
      <c r="F66" s="15">
        <v>943.81646000000012</v>
      </c>
      <c r="G66" s="20">
        <v>45293</v>
      </c>
      <c r="H66" s="20">
        <v>56131</v>
      </c>
      <c r="I66" s="15">
        <v>136.81858</v>
      </c>
      <c r="J66" s="15">
        <v>867.09044999999992</v>
      </c>
      <c r="K66" s="20">
        <v>46681</v>
      </c>
      <c r="L66" s="20">
        <v>55982</v>
      </c>
      <c r="M66" s="15">
        <v>172.85849999999999</v>
      </c>
      <c r="N66" s="15">
        <v>965.49920999999995</v>
      </c>
      <c r="O66" s="1"/>
      <c r="P66" s="1"/>
      <c r="Q66" s="1"/>
    </row>
    <row r="67" spans="1:17" s="5" customFormat="1" ht="16.5" customHeight="1" x14ac:dyDescent="0.25">
      <c r="A67" s="10">
        <v>55</v>
      </c>
      <c r="B67" s="9" t="s">
        <v>62</v>
      </c>
      <c r="C67" s="20">
        <v>2868</v>
      </c>
      <c r="D67" s="20">
        <v>2985</v>
      </c>
      <c r="E67" s="15">
        <v>0.30499999999999999</v>
      </c>
      <c r="F67" s="15">
        <v>40.24</v>
      </c>
      <c r="G67" s="20">
        <v>2679</v>
      </c>
      <c r="H67" s="20">
        <v>2772</v>
      </c>
      <c r="I67" s="15">
        <v>1.8507</v>
      </c>
      <c r="J67" s="15">
        <v>31.576000000000001</v>
      </c>
      <c r="K67" s="20">
        <v>2813</v>
      </c>
      <c r="L67" s="20">
        <v>2936</v>
      </c>
      <c r="M67" s="15">
        <v>1.9379999999999999</v>
      </c>
      <c r="N67" s="15">
        <v>46.335999999999999</v>
      </c>
      <c r="O67" s="1"/>
      <c r="P67" s="1"/>
      <c r="Q67" s="1"/>
    </row>
    <row r="68" spans="1:17" s="5" customFormat="1" ht="16.5" customHeight="1" x14ac:dyDescent="0.25">
      <c r="A68" s="10">
        <v>56</v>
      </c>
      <c r="B68" s="9" t="s">
        <v>18</v>
      </c>
      <c r="C68" s="20">
        <v>99389</v>
      </c>
      <c r="D68" s="20">
        <v>98219</v>
      </c>
      <c r="E68" s="15">
        <v>5256.4110000000001</v>
      </c>
      <c r="F68" s="15">
        <v>8310.0310000000009</v>
      </c>
      <c r="G68" s="20">
        <v>85761</v>
      </c>
      <c r="H68" s="20">
        <v>89346</v>
      </c>
      <c r="I68" s="15">
        <v>5851.5159999999996</v>
      </c>
      <c r="J68" s="15">
        <v>8591.2070000000003</v>
      </c>
      <c r="K68" s="20">
        <v>87273</v>
      </c>
      <c r="L68" s="20">
        <v>97704</v>
      </c>
      <c r="M68" s="15">
        <v>8201.4740000000002</v>
      </c>
      <c r="N68" s="15">
        <v>9939.4120000000003</v>
      </c>
      <c r="O68" s="1"/>
      <c r="P68" s="1"/>
      <c r="Q68" s="1"/>
    </row>
    <row r="69" spans="1:17" s="5" customFormat="1" ht="16.5" customHeight="1" x14ac:dyDescent="0.25">
      <c r="A69" s="10">
        <v>57</v>
      </c>
      <c r="B69" s="9" t="s">
        <v>74</v>
      </c>
      <c r="C69" s="20">
        <v>20758</v>
      </c>
      <c r="D69" s="20">
        <v>23453</v>
      </c>
      <c r="E69" s="15">
        <v>0.39300000000000002</v>
      </c>
      <c r="F69" s="15">
        <v>45.938000000000002</v>
      </c>
      <c r="G69" s="20">
        <v>15314</v>
      </c>
      <c r="H69" s="20">
        <v>17712</v>
      </c>
      <c r="I69" s="15">
        <v>0.68799999999999994</v>
      </c>
      <c r="J69" s="15">
        <v>40.89</v>
      </c>
      <c r="K69" s="20">
        <v>13709</v>
      </c>
      <c r="L69" s="20">
        <v>15822</v>
      </c>
      <c r="M69" s="15">
        <v>0.21680000000000002</v>
      </c>
      <c r="N69" s="15">
        <v>54.63</v>
      </c>
      <c r="O69" s="1"/>
      <c r="P69" s="1"/>
      <c r="Q69" s="1"/>
    </row>
    <row r="70" spans="1:17" s="5" customFormat="1" ht="16.5" customHeight="1" x14ac:dyDescent="0.25">
      <c r="A70" s="10">
        <v>58</v>
      </c>
      <c r="B70" s="9" t="s">
        <v>63</v>
      </c>
      <c r="C70" s="20">
        <v>64557</v>
      </c>
      <c r="D70" s="20">
        <v>73641</v>
      </c>
      <c r="E70" s="15">
        <v>174.393</v>
      </c>
      <c r="F70" s="15">
        <v>2370.8150000000001</v>
      </c>
      <c r="G70" s="20">
        <v>60569</v>
      </c>
      <c r="H70" s="20">
        <v>65922</v>
      </c>
      <c r="I70" s="15">
        <v>241.33699999999999</v>
      </c>
      <c r="J70" s="15">
        <v>2491.1179999999999</v>
      </c>
      <c r="K70" s="20">
        <v>59255</v>
      </c>
      <c r="L70" s="20">
        <v>62793</v>
      </c>
      <c r="M70" s="15">
        <v>292.87</v>
      </c>
      <c r="N70" s="15">
        <v>2978.1509999999998</v>
      </c>
      <c r="O70" s="1"/>
      <c r="P70" s="1"/>
      <c r="Q70" s="1"/>
    </row>
    <row r="71" spans="1:17" s="5" customFormat="1" ht="16.5" customHeight="1" x14ac:dyDescent="0.25">
      <c r="A71" s="10">
        <v>59</v>
      </c>
      <c r="B71" s="9" t="s">
        <v>91</v>
      </c>
      <c r="C71" s="20">
        <v>1845</v>
      </c>
      <c r="D71" s="20">
        <v>1778</v>
      </c>
      <c r="E71" s="15">
        <v>0</v>
      </c>
      <c r="F71" s="15">
        <v>9.8580000000000005</v>
      </c>
      <c r="G71" s="20">
        <v>1579</v>
      </c>
      <c r="H71" s="20">
        <v>1647</v>
      </c>
      <c r="I71" s="15">
        <v>0</v>
      </c>
      <c r="J71" s="15">
        <v>4.1890000000000001</v>
      </c>
      <c r="K71" s="20">
        <v>1707</v>
      </c>
      <c r="L71" s="20">
        <v>1840</v>
      </c>
      <c r="M71" s="15">
        <v>0</v>
      </c>
      <c r="N71" s="15">
        <v>6.5535899999999998</v>
      </c>
      <c r="O71" s="1"/>
      <c r="P71" s="1"/>
      <c r="Q71" s="1"/>
    </row>
    <row r="72" spans="1:17" s="5" customFormat="1" ht="16.5" customHeight="1" x14ac:dyDescent="0.25">
      <c r="A72" s="10">
        <v>60</v>
      </c>
      <c r="B72" s="9" t="s">
        <v>55</v>
      </c>
      <c r="C72" s="20">
        <v>37643</v>
      </c>
      <c r="D72" s="20">
        <v>36596</v>
      </c>
      <c r="E72" s="15">
        <v>23.815300000000004</v>
      </c>
      <c r="F72" s="15">
        <v>140.33960000000002</v>
      </c>
      <c r="G72" s="20">
        <v>27017</v>
      </c>
      <c r="H72" s="20">
        <v>32970</v>
      </c>
      <c r="I72" s="15">
        <v>14.5722</v>
      </c>
      <c r="J72" s="15">
        <v>117.4425</v>
      </c>
      <c r="K72" s="20">
        <v>30675</v>
      </c>
      <c r="L72" s="20">
        <v>32983</v>
      </c>
      <c r="M72" s="15">
        <v>116.6276</v>
      </c>
      <c r="N72" s="15">
        <v>221.7816</v>
      </c>
      <c r="O72" s="1"/>
      <c r="P72" s="1"/>
      <c r="Q72" s="1"/>
    </row>
    <row r="73" spans="1:17" s="5" customFormat="1" ht="16.5" customHeight="1" x14ac:dyDescent="0.25">
      <c r="A73" s="10">
        <v>61</v>
      </c>
      <c r="B73" s="9" t="s">
        <v>56</v>
      </c>
      <c r="C73" s="20">
        <v>104551</v>
      </c>
      <c r="D73" s="20">
        <v>113476</v>
      </c>
      <c r="E73" s="15">
        <v>4147.3639999999996</v>
      </c>
      <c r="F73" s="15">
        <v>3056.6039999999998</v>
      </c>
      <c r="G73" s="20">
        <v>86099</v>
      </c>
      <c r="H73" s="20">
        <v>103173</v>
      </c>
      <c r="I73" s="15">
        <v>3071.8449999999998</v>
      </c>
      <c r="J73" s="15">
        <v>2947.5279999999998</v>
      </c>
      <c r="K73" s="20">
        <v>94166</v>
      </c>
      <c r="L73" s="20">
        <v>106389</v>
      </c>
      <c r="M73" s="15">
        <v>3744.7080000000001</v>
      </c>
      <c r="N73" s="15">
        <v>3218.87</v>
      </c>
      <c r="O73" s="1"/>
      <c r="P73" s="1"/>
      <c r="Q73" s="1"/>
    </row>
    <row r="74" spans="1:17" s="5" customFormat="1" ht="16.5" customHeight="1" x14ac:dyDescent="0.25">
      <c r="A74" s="10">
        <v>62</v>
      </c>
      <c r="B74" s="9" t="s">
        <v>29</v>
      </c>
      <c r="C74" s="20">
        <v>50734</v>
      </c>
      <c r="D74" s="20">
        <v>52654</v>
      </c>
      <c r="E74" s="15">
        <v>365.66230000000002</v>
      </c>
      <c r="F74" s="15">
        <v>694.05399999999997</v>
      </c>
      <c r="G74" s="20">
        <v>41264</v>
      </c>
      <c r="H74" s="20">
        <v>47365</v>
      </c>
      <c r="I74" s="15">
        <v>424.02359999999999</v>
      </c>
      <c r="J74" s="15">
        <v>706.40599999999995</v>
      </c>
      <c r="K74" s="20">
        <v>43133</v>
      </c>
      <c r="L74" s="20">
        <v>44408</v>
      </c>
      <c r="M74" s="15">
        <v>444.87389999999999</v>
      </c>
      <c r="N74" s="15">
        <v>798.91300000000001</v>
      </c>
      <c r="O74" s="1"/>
      <c r="P74" s="1"/>
      <c r="Q74" s="1"/>
    </row>
    <row r="75" spans="1:17" s="5" customFormat="1" ht="16.5" customHeight="1" x14ac:dyDescent="0.25">
      <c r="A75" s="10">
        <v>63</v>
      </c>
      <c r="B75" s="9" t="s">
        <v>34</v>
      </c>
      <c r="C75" s="20">
        <v>11726</v>
      </c>
      <c r="D75" s="20">
        <v>13476</v>
      </c>
      <c r="E75" s="15">
        <v>501.52600000000001</v>
      </c>
      <c r="F75" s="15">
        <v>674.07100000000003</v>
      </c>
      <c r="G75" s="20">
        <v>9885</v>
      </c>
      <c r="H75" s="20">
        <v>12076</v>
      </c>
      <c r="I75" s="15">
        <v>610.37</v>
      </c>
      <c r="J75" s="15">
        <v>628.84100000000001</v>
      </c>
      <c r="K75" s="20">
        <v>6774</v>
      </c>
      <c r="L75" s="20">
        <v>12820</v>
      </c>
      <c r="M75" s="15">
        <v>693.28899999999999</v>
      </c>
      <c r="N75" s="15">
        <v>770.82600000000002</v>
      </c>
      <c r="O75" s="1"/>
      <c r="P75" s="1"/>
      <c r="Q75" s="1"/>
    </row>
    <row r="76" spans="1:17" s="5" customFormat="1" ht="16.5" customHeight="1" x14ac:dyDescent="0.25">
      <c r="A76" s="10">
        <v>64</v>
      </c>
      <c r="B76" s="9" t="s">
        <v>65</v>
      </c>
      <c r="C76" s="20">
        <v>39414</v>
      </c>
      <c r="D76" s="20">
        <v>39299</v>
      </c>
      <c r="E76" s="15">
        <v>171.863</v>
      </c>
      <c r="F76" s="15">
        <v>248.97689000000003</v>
      </c>
      <c r="G76" s="20">
        <v>29150</v>
      </c>
      <c r="H76" s="20">
        <v>31836</v>
      </c>
      <c r="I76" s="15">
        <v>62.073800000000006</v>
      </c>
      <c r="J76" s="15">
        <v>295.81723999999997</v>
      </c>
      <c r="K76" s="20">
        <v>28112</v>
      </c>
      <c r="L76" s="20">
        <v>29188</v>
      </c>
      <c r="M76" s="15">
        <v>182.89400000000001</v>
      </c>
      <c r="N76" s="15">
        <v>268.47896999999995</v>
      </c>
      <c r="O76" s="1"/>
      <c r="P76" s="1"/>
      <c r="Q76" s="1"/>
    </row>
    <row r="77" spans="1:17" s="5" customFormat="1" ht="16.5" customHeight="1" x14ac:dyDescent="0.25">
      <c r="A77" s="10">
        <v>65</v>
      </c>
      <c r="B77" s="9" t="s">
        <v>98</v>
      </c>
      <c r="C77" s="20">
        <v>3890</v>
      </c>
      <c r="D77" s="20">
        <v>3587</v>
      </c>
      <c r="E77" s="15">
        <v>124.812</v>
      </c>
      <c r="F77" s="15">
        <v>24.763000000000002</v>
      </c>
      <c r="G77" s="20">
        <v>3447</v>
      </c>
      <c r="H77" s="20">
        <v>3658</v>
      </c>
      <c r="I77" s="15">
        <v>122.544</v>
      </c>
      <c r="J77" s="15">
        <v>62.01</v>
      </c>
      <c r="K77" s="20">
        <v>3462</v>
      </c>
      <c r="L77" s="20">
        <v>3271</v>
      </c>
      <c r="M77" s="15">
        <v>197.72499999999999</v>
      </c>
      <c r="N77" s="15">
        <v>101.145</v>
      </c>
      <c r="O77" s="1"/>
      <c r="P77" s="1"/>
      <c r="Q77" s="1"/>
    </row>
    <row r="78" spans="1:17" s="5" customFormat="1" ht="16.5" customHeight="1" x14ac:dyDescent="0.25">
      <c r="A78" s="10">
        <v>66</v>
      </c>
      <c r="B78" s="9" t="s">
        <v>38</v>
      </c>
      <c r="C78" s="20">
        <v>64674</v>
      </c>
      <c r="D78" s="20">
        <v>62753</v>
      </c>
      <c r="E78" s="15">
        <v>2304.306</v>
      </c>
      <c r="F78" s="15">
        <v>2438.1770000000001</v>
      </c>
      <c r="G78" s="20">
        <v>49348</v>
      </c>
      <c r="H78" s="20">
        <v>60516</v>
      </c>
      <c r="I78" s="15">
        <v>1826.8219999999999</v>
      </c>
      <c r="J78" s="15">
        <v>2638.2640000000001</v>
      </c>
      <c r="K78" s="20">
        <v>54165</v>
      </c>
      <c r="L78" s="20">
        <v>57573</v>
      </c>
      <c r="M78" s="15">
        <v>2246.9639999999999</v>
      </c>
      <c r="N78" s="15">
        <v>2299.6010000000001</v>
      </c>
      <c r="O78" s="1"/>
      <c r="P78" s="1"/>
      <c r="Q78" s="1"/>
    </row>
    <row r="79" spans="1:17" s="5" customFormat="1" ht="16.5" customHeight="1" x14ac:dyDescent="0.25">
      <c r="A79" s="10">
        <v>67</v>
      </c>
      <c r="B79" s="9" t="s">
        <v>66</v>
      </c>
      <c r="C79" s="20">
        <v>13890</v>
      </c>
      <c r="D79" s="20">
        <v>12718</v>
      </c>
      <c r="E79" s="15">
        <v>118.366</v>
      </c>
      <c r="F79" s="15">
        <v>30.42</v>
      </c>
      <c r="G79" s="20">
        <v>10624</v>
      </c>
      <c r="H79" s="20">
        <v>12386</v>
      </c>
      <c r="I79" s="15">
        <v>39.792000000000002</v>
      </c>
      <c r="J79" s="15">
        <v>31.076000000000001</v>
      </c>
      <c r="K79" s="20">
        <v>12119</v>
      </c>
      <c r="L79" s="20">
        <v>11616</v>
      </c>
      <c r="M79" s="15">
        <v>118.623</v>
      </c>
      <c r="N79" s="15">
        <v>51.758000000000003</v>
      </c>
      <c r="O79" s="1"/>
      <c r="P79" s="1"/>
      <c r="Q79" s="1"/>
    </row>
    <row r="80" spans="1:17" s="5" customFormat="1" ht="16.5" customHeight="1" x14ac:dyDescent="0.25">
      <c r="A80" s="10">
        <v>68</v>
      </c>
      <c r="B80" s="9" t="s">
        <v>19</v>
      </c>
      <c r="C80" s="20">
        <v>23530</v>
      </c>
      <c r="D80" s="20">
        <v>22789</v>
      </c>
      <c r="E80" s="15">
        <v>2406.5363900000002</v>
      </c>
      <c r="F80" s="15">
        <v>3701.2060000000001</v>
      </c>
      <c r="G80" s="20">
        <v>20440</v>
      </c>
      <c r="H80" s="20">
        <v>21189</v>
      </c>
      <c r="I80" s="15">
        <v>2535.203</v>
      </c>
      <c r="J80" s="15">
        <v>3347.2069999999999</v>
      </c>
      <c r="K80" s="20">
        <v>19868</v>
      </c>
      <c r="L80" s="20">
        <v>23405</v>
      </c>
      <c r="M80" s="15">
        <v>3151.105</v>
      </c>
      <c r="N80" s="15">
        <v>4090.857</v>
      </c>
      <c r="O80" s="1"/>
      <c r="P80" s="1"/>
      <c r="Q80" s="1"/>
    </row>
    <row r="81" spans="1:17" s="5" customFormat="1" ht="16.5" customHeight="1" x14ac:dyDescent="0.25">
      <c r="A81" s="10">
        <v>69</v>
      </c>
      <c r="B81" s="9" t="s">
        <v>20</v>
      </c>
      <c r="C81" s="20">
        <v>7611</v>
      </c>
      <c r="D81" s="20">
        <v>6802</v>
      </c>
      <c r="E81" s="15">
        <v>21.57</v>
      </c>
      <c r="F81" s="15">
        <v>98.31</v>
      </c>
      <c r="G81" s="20">
        <v>6879</v>
      </c>
      <c r="H81" s="20">
        <v>6126</v>
      </c>
      <c r="I81" s="15">
        <v>37.027000000000001</v>
      </c>
      <c r="J81" s="15">
        <v>64.156999999999996</v>
      </c>
      <c r="K81" s="20">
        <v>6551</v>
      </c>
      <c r="L81" s="20">
        <v>7240</v>
      </c>
      <c r="M81" s="15">
        <v>43.514000000000003</v>
      </c>
      <c r="N81" s="15">
        <v>35.765000000000001</v>
      </c>
      <c r="O81" s="1"/>
      <c r="P81" s="1"/>
      <c r="Q81" s="1"/>
    </row>
    <row r="82" spans="1:17" s="5" customFormat="1" ht="16.5" customHeight="1" x14ac:dyDescent="0.25">
      <c r="A82" s="10">
        <v>70</v>
      </c>
      <c r="B82" s="9" t="s">
        <v>82</v>
      </c>
      <c r="C82" s="20">
        <v>0</v>
      </c>
      <c r="D82" s="20">
        <v>0</v>
      </c>
      <c r="E82" s="15">
        <v>2274.8890000000001</v>
      </c>
      <c r="F82" s="15">
        <v>2610.4340000000002</v>
      </c>
      <c r="G82" s="20">
        <v>0</v>
      </c>
      <c r="H82" s="20">
        <v>0</v>
      </c>
      <c r="I82" s="15">
        <v>1699.5329999999999</v>
      </c>
      <c r="J82" s="15">
        <v>2317.9720000000002</v>
      </c>
      <c r="K82" s="20">
        <v>0</v>
      </c>
      <c r="L82" s="20">
        <v>0</v>
      </c>
      <c r="M82" s="15">
        <v>2249.741</v>
      </c>
      <c r="N82" s="15">
        <v>2745.4749999999999</v>
      </c>
      <c r="O82" s="1"/>
      <c r="P82" s="1"/>
      <c r="Q82" s="1"/>
    </row>
    <row r="83" spans="1:17" s="5" customFormat="1" ht="16.5" customHeight="1" x14ac:dyDescent="0.25">
      <c r="A83" s="10">
        <v>71</v>
      </c>
      <c r="B83" s="9" t="s">
        <v>57</v>
      </c>
      <c r="C83" s="20">
        <v>999</v>
      </c>
      <c r="D83" s="20">
        <v>1358</v>
      </c>
      <c r="E83" s="15">
        <v>7.0000000000000007E-2</v>
      </c>
      <c r="F83" s="15">
        <v>7.4999999999999997E-2</v>
      </c>
      <c r="G83" s="20">
        <v>971</v>
      </c>
      <c r="H83" s="20">
        <v>1302</v>
      </c>
      <c r="I83" s="15">
        <v>7.0000000000000007E-2</v>
      </c>
      <c r="J83" s="15">
        <v>7.4999999999999997E-2</v>
      </c>
      <c r="K83" s="20">
        <v>544</v>
      </c>
      <c r="L83" s="20">
        <v>813</v>
      </c>
      <c r="M83" s="15">
        <v>7.0000000000000007E-2</v>
      </c>
      <c r="N83" s="15">
        <v>7.4999999999999997E-2</v>
      </c>
      <c r="O83" s="1"/>
      <c r="P83" s="1"/>
      <c r="Q83" s="1"/>
    </row>
    <row r="84" spans="1:17" s="5" customFormat="1" ht="16.5" customHeight="1" x14ac:dyDescent="0.25">
      <c r="A84" s="10">
        <v>72</v>
      </c>
      <c r="B84" s="9" t="s">
        <v>75</v>
      </c>
      <c r="C84" s="20">
        <v>4271</v>
      </c>
      <c r="D84" s="20">
        <v>4187</v>
      </c>
      <c r="E84" s="15">
        <v>13.98</v>
      </c>
      <c r="F84" s="15">
        <v>111.367</v>
      </c>
      <c r="G84" s="20">
        <v>4824</v>
      </c>
      <c r="H84" s="20">
        <v>5096</v>
      </c>
      <c r="I84" s="15">
        <v>16.334</v>
      </c>
      <c r="J84" s="15">
        <v>106.02200000000001</v>
      </c>
      <c r="K84" s="20">
        <v>4021</v>
      </c>
      <c r="L84" s="20">
        <v>5389</v>
      </c>
      <c r="M84" s="15">
        <v>29.981999999999999</v>
      </c>
      <c r="N84" s="15">
        <v>180.81700000000001</v>
      </c>
      <c r="O84" s="1"/>
      <c r="P84" s="1"/>
      <c r="Q84" s="1"/>
    </row>
    <row r="85" spans="1:17" s="5" customFormat="1" ht="16.5" customHeight="1" x14ac:dyDescent="0.25">
      <c r="A85" s="10">
        <v>73</v>
      </c>
      <c r="B85" s="9" t="s">
        <v>67</v>
      </c>
      <c r="C85" s="20">
        <v>16815</v>
      </c>
      <c r="D85" s="20">
        <v>15002</v>
      </c>
      <c r="E85" s="15">
        <v>316.34050000000002</v>
      </c>
      <c r="F85" s="15">
        <v>188.44450000000001</v>
      </c>
      <c r="G85" s="20">
        <v>13172</v>
      </c>
      <c r="H85" s="20">
        <v>16789</v>
      </c>
      <c r="I85" s="15">
        <v>302.12900000000002</v>
      </c>
      <c r="J85" s="15">
        <v>250.52980000000002</v>
      </c>
      <c r="K85" s="20">
        <v>16992</v>
      </c>
      <c r="L85" s="20">
        <v>17446</v>
      </c>
      <c r="M85" s="15">
        <v>329.33199999999999</v>
      </c>
      <c r="N85" s="15">
        <v>190.92140000000001</v>
      </c>
      <c r="O85" s="1"/>
      <c r="P85" s="1"/>
      <c r="Q85" s="1"/>
    </row>
    <row r="86" spans="1:17" s="5" customFormat="1" ht="16.5" customHeight="1" x14ac:dyDescent="0.25">
      <c r="A86" s="10">
        <v>74</v>
      </c>
      <c r="B86" s="9" t="s">
        <v>72</v>
      </c>
      <c r="C86" s="20">
        <v>7569</v>
      </c>
      <c r="D86" s="20">
        <v>7377</v>
      </c>
      <c r="E86" s="15">
        <v>362.86799999999999</v>
      </c>
      <c r="F86" s="15">
        <v>114.9773</v>
      </c>
      <c r="G86" s="20">
        <v>7076</v>
      </c>
      <c r="H86" s="20">
        <v>8070</v>
      </c>
      <c r="I86" s="15">
        <v>1877.2023000000002</v>
      </c>
      <c r="J86" s="15">
        <v>210.41070000000002</v>
      </c>
      <c r="K86" s="20">
        <v>9268</v>
      </c>
      <c r="L86" s="20">
        <v>10242</v>
      </c>
      <c r="M86" s="15">
        <v>635.06100000000004</v>
      </c>
      <c r="N86" s="15">
        <v>164.29949999999999</v>
      </c>
      <c r="O86" s="1"/>
      <c r="P86" s="1"/>
      <c r="Q86" s="1"/>
    </row>
    <row r="87" spans="1:17" s="5" customFormat="1" ht="16.5" customHeight="1" x14ac:dyDescent="0.25">
      <c r="A87" s="10">
        <v>75</v>
      </c>
      <c r="B87" s="9" t="s">
        <v>21</v>
      </c>
      <c r="C87" s="20">
        <v>48700</v>
      </c>
      <c r="D87" s="20">
        <v>60740</v>
      </c>
      <c r="E87" s="15">
        <v>1358.3610000000001</v>
      </c>
      <c r="F87" s="15">
        <v>1709.182</v>
      </c>
      <c r="G87" s="20">
        <v>41106</v>
      </c>
      <c r="H87" s="20">
        <v>43987</v>
      </c>
      <c r="I87" s="15">
        <v>977.43799999999999</v>
      </c>
      <c r="J87" s="15">
        <v>1907.6469999999999</v>
      </c>
      <c r="K87" s="20">
        <v>30208</v>
      </c>
      <c r="L87" s="20">
        <v>47195</v>
      </c>
      <c r="M87" s="15">
        <v>959.93100000000004</v>
      </c>
      <c r="N87" s="15">
        <v>2124.8850000000002</v>
      </c>
      <c r="O87" s="1"/>
      <c r="P87" s="1"/>
      <c r="Q87" s="1"/>
    </row>
    <row r="88" spans="1:17" s="5" customFormat="1" ht="16.5" customHeight="1" x14ac:dyDescent="0.25">
      <c r="A88" s="10">
        <v>76</v>
      </c>
      <c r="B88" s="9" t="s">
        <v>22</v>
      </c>
      <c r="C88" s="20">
        <v>97</v>
      </c>
      <c r="D88" s="20">
        <v>121</v>
      </c>
      <c r="E88" s="15">
        <v>0</v>
      </c>
      <c r="F88" s="15">
        <v>0.67418</v>
      </c>
      <c r="G88" s="20">
        <v>49</v>
      </c>
      <c r="H88" s="20">
        <v>295</v>
      </c>
      <c r="I88" s="15">
        <v>0</v>
      </c>
      <c r="J88" s="15">
        <v>0.32313999999999998</v>
      </c>
      <c r="K88" s="20">
        <v>73</v>
      </c>
      <c r="L88" s="20">
        <v>182</v>
      </c>
      <c r="M88" s="15">
        <v>0</v>
      </c>
      <c r="N88" s="15">
        <v>1.3915999999999999</v>
      </c>
      <c r="O88" s="1"/>
      <c r="P88" s="1"/>
      <c r="Q88" s="1"/>
    </row>
    <row r="89" spans="1:17" ht="16.5" customHeight="1" x14ac:dyDescent="0.25">
      <c r="A89" s="34" t="s">
        <v>87</v>
      </c>
      <c r="B89" s="34"/>
      <c r="C89" s="22">
        <f t="shared" ref="C89:N89" si="1">SUM(C13:C88)</f>
        <v>1833468</v>
      </c>
      <c r="D89" s="22">
        <f t="shared" si="1"/>
        <v>1932099</v>
      </c>
      <c r="E89" s="17">
        <f t="shared" si="1"/>
        <v>50795.623269999996</v>
      </c>
      <c r="F89" s="17">
        <f t="shared" si="1"/>
        <v>70796.866239999988</v>
      </c>
      <c r="G89" s="22">
        <f t="shared" si="1"/>
        <v>1534109</v>
      </c>
      <c r="H89" s="22">
        <f t="shared" si="1"/>
        <v>1747942</v>
      </c>
      <c r="I89" s="17">
        <f t="shared" si="1"/>
        <v>48810.428590000018</v>
      </c>
      <c r="J89" s="17">
        <f t="shared" si="1"/>
        <v>72935.222380000007</v>
      </c>
      <c r="K89" s="22">
        <f t="shared" si="1"/>
        <v>1552672</v>
      </c>
      <c r="L89" s="22">
        <f t="shared" si="1"/>
        <v>1776911</v>
      </c>
      <c r="M89" s="17">
        <f t="shared" si="1"/>
        <v>57943.490984000018</v>
      </c>
      <c r="N89" s="17">
        <f t="shared" si="1"/>
        <v>80818.790196999995</v>
      </c>
    </row>
    <row r="90" spans="1:17" s="8" customFormat="1" ht="16.5" customHeight="1" x14ac:dyDescent="0.25">
      <c r="A90" s="35" t="s">
        <v>88</v>
      </c>
      <c r="B90" s="35"/>
      <c r="C90" s="25">
        <f t="shared" ref="C90:N90" si="2">C11+C89</f>
        <v>3389456</v>
      </c>
      <c r="D90" s="25">
        <f t="shared" si="2"/>
        <v>3568868</v>
      </c>
      <c r="E90" s="18">
        <f t="shared" si="2"/>
        <v>59043.683838167934</v>
      </c>
      <c r="F90" s="18">
        <f t="shared" si="2"/>
        <v>87830.257275837444</v>
      </c>
      <c r="G90" s="25">
        <f t="shared" si="2"/>
        <v>2891209</v>
      </c>
      <c r="H90" s="25">
        <f t="shared" si="2"/>
        <v>3253754</v>
      </c>
      <c r="I90" s="18">
        <f t="shared" si="2"/>
        <v>57257.493390000018</v>
      </c>
      <c r="J90" s="18">
        <f t="shared" si="2"/>
        <v>88649.143240000005</v>
      </c>
      <c r="K90" s="25">
        <f t="shared" si="2"/>
        <v>2932298</v>
      </c>
      <c r="L90" s="25">
        <f t="shared" si="2"/>
        <v>3304885</v>
      </c>
      <c r="M90" s="18">
        <f t="shared" si="2"/>
        <v>67778.740384000019</v>
      </c>
      <c r="N90" s="18">
        <f t="shared" si="2"/>
        <v>99235.233866999988</v>
      </c>
    </row>
    <row r="91" spans="1:17" s="8" customFormat="1" ht="19.5" customHeight="1" x14ac:dyDescent="0.25">
      <c r="A91" s="28" t="s">
        <v>89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0"/>
    </row>
    <row r="92" spans="1:17" s="8" customFormat="1" ht="31.5" customHeight="1" x14ac:dyDescent="0.25">
      <c r="A92" s="27" t="s">
        <v>28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</row>
  </sheetData>
  <mergeCells count="14">
    <mergeCell ref="A1:N1"/>
    <mergeCell ref="A2:N2"/>
    <mergeCell ref="A3:A4"/>
    <mergeCell ref="B3:B4"/>
    <mergeCell ref="C3:F3"/>
    <mergeCell ref="G3:J3"/>
    <mergeCell ref="K3:N3"/>
    <mergeCell ref="A92:N92"/>
    <mergeCell ref="A91:N91"/>
    <mergeCell ref="A5:N5"/>
    <mergeCell ref="A11:B11"/>
    <mergeCell ref="A12:N12"/>
    <mergeCell ref="A89:B89"/>
    <mergeCell ref="A90:B90"/>
  </mergeCells>
  <printOptions horizontalCentered="1"/>
  <pageMargins left="0" right="0" top="3.937007874015748E-2" bottom="3.937007874015748E-2" header="0.31496062992125984" footer="0.31496062992125984"/>
  <pageSetup scale="55" fitToHeight="2" orientation="landscape" r:id="rId1"/>
  <headerFooter>
    <oddFooter>Page &amp;P of &amp;N</oddFooter>
  </headerFooter>
  <rowBreaks count="1" manualBreakCount="1">
    <brk id="5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2025-06-12T07:38:25Z</dcterms:modified>
</cp:coreProperties>
</file>