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835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MONTHWISE!$A$1:$N$95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D13" i="2" l="1"/>
  <c r="E13" i="2"/>
  <c r="F13" i="2"/>
  <c r="G13" i="2"/>
  <c r="H13" i="2"/>
  <c r="I13" i="2"/>
  <c r="J13" i="2"/>
  <c r="K13" i="2"/>
  <c r="L13" i="2"/>
  <c r="M13" i="2"/>
  <c r="N13" i="2"/>
  <c r="C13" i="2"/>
  <c r="D92" i="2" l="1"/>
  <c r="E92" i="2"/>
  <c r="F92" i="2"/>
  <c r="G92" i="2"/>
  <c r="H92" i="2"/>
  <c r="I92" i="2"/>
  <c r="J92" i="2"/>
  <c r="K92" i="2"/>
  <c r="L92" i="2"/>
  <c r="M92" i="2"/>
  <c r="N92" i="2"/>
  <c r="C92" i="2"/>
  <c r="D93" i="2" l="1"/>
  <c r="E93" i="2"/>
  <c r="F93" i="2"/>
  <c r="G93" i="2"/>
  <c r="H93" i="2"/>
  <c r="I93" i="2"/>
  <c r="J93" i="2"/>
  <c r="K93" i="2"/>
  <c r="L93" i="2"/>
  <c r="M93" i="2"/>
  <c r="N93" i="2"/>
  <c r="C93" i="2" l="1"/>
</calcChain>
</file>

<file path=xl/sharedStrings.xml><?xml version="1.0" encoding="utf-8"?>
<sst xmlns="http://schemas.openxmlformats.org/spreadsheetml/2006/main" count="110" uniqueCount="102">
  <si>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</si>
  <si>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</si>
  <si>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</si>
  <si>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</si>
  <si>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</si>
  <si>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</si>
  <si>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</si>
  <si>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</si>
  <si>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BIMAN BANGLADESH</t>
  </si>
  <si>
    <t>CATHAY PACIFIC</t>
  </si>
  <si>
    <t>DRUK AIR</t>
  </si>
  <si>
    <t>FEDERAL EXPRESS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</si>
  <si>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</si>
  <si>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</si>
  <si>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</si>
  <si>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</si>
  <si>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</si>
  <si>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</si>
  <si>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</si>
  <si>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</si>
  <si>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</si>
  <si>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</si>
  <si>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</si>
  <si>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</si>
  <si>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</si>
  <si>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</si>
  <si>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</si>
  <si>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</si>
  <si>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</si>
  <si>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</si>
  <si>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</si>
  <si>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</si>
  <si>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</si>
  <si>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</si>
  <si>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</si>
  <si>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</si>
  <si>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</si>
  <si>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</si>
  <si>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</si>
  <si>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</si>
  <si>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</si>
  <si>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</si>
  <si>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</si>
  <si>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</si>
  <si>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</si>
  <si>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</si>
  <si>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</si>
  <si>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</si>
  <si>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MALINDO AIRWAYS</t>
  </si>
  <si>
    <t>FLY DUBAI</t>
  </si>
  <si>
    <t>MYANMAR AIRLINES</t>
  </si>
  <si>
    <t>NEPAL AIRLINES CORPORATION</t>
  </si>
  <si>
    <t>RWANDAIR</t>
  </si>
  <si>
    <t>AIR SEYCHELLES</t>
  </si>
  <si>
    <t>JAZEERA AIRWAYS</t>
  </si>
  <si>
    <t>AIR INDIA EXPRESS</t>
  </si>
  <si>
    <t>INDIGO</t>
  </si>
  <si>
    <t>SPICEJET</t>
  </si>
  <si>
    <t>AIR ASIA BERHAD</t>
  </si>
  <si>
    <t>CHINA AIRLINES LTD</t>
  </si>
  <si>
    <t>FLYNAS</t>
  </si>
  <si>
    <t>SCOOT TIGER AIR</t>
  </si>
  <si>
    <t>SINGAPORE AIRLINES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</si>
  <si>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</si>
  <si>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</si>
  <si>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</si>
  <si>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</si>
  <si>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</si>
  <si>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</si>
  <si>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</si>
  <si>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SAUDIA</t>
  </si>
  <si>
    <t>BRITISH AIRWAYS</t>
  </si>
  <si>
    <t>THAI AIR ASIA</t>
  </si>
  <si>
    <t>THAI LION AIR</t>
  </si>
  <si>
    <t>VIETJET AIR</t>
  </si>
  <si>
    <t>AZERBAIJAN AIRLINES</t>
  </si>
  <si>
    <t>ALLIANCE AIR</t>
  </si>
  <si>
    <t>AERO NOMAD</t>
  </si>
  <si>
    <t>BATIK AIR</t>
  </si>
  <si>
    <t>BHUTAN AIRLINES</t>
  </si>
  <si>
    <t>FLY BAGHDAD</t>
  </si>
  <si>
    <t>NEOS SPA</t>
  </si>
  <si>
    <t>VIETNAM AIRLINES</t>
  </si>
  <si>
    <t>Note: This table does not include the passengers and freight carried by domestic carriers entirely outside the Indian territory.</t>
  </si>
  <si>
    <t>ASIANA AIRLINES</t>
  </si>
  <si>
    <t>BUDDHA AIR</t>
  </si>
  <si>
    <t>SALAM AIR</t>
  </si>
  <si>
    <t>SCAT AIRLINES</t>
  </si>
  <si>
    <t>UZBEKISTAN AIRWAYS</t>
  </si>
  <si>
    <t>AIR ASTANA</t>
  </si>
  <si>
    <t>EGYPT AIR</t>
  </si>
  <si>
    <t>ETIHAD AIRLINES</t>
  </si>
  <si>
    <t>FINN AIR</t>
  </si>
  <si>
    <t>IRAN AIR</t>
  </si>
  <si>
    <t>LOT POLISH</t>
  </si>
  <si>
    <t>UNITED PARCEL SERVICES</t>
  </si>
  <si>
    <t>TABLE 2. AIRLINEWISE MONTHLY INTERNATIONAL TRAFFIC STATISTICS (SCHEDULED) FOR THE QUARTER JANUARY-MARCH 2024 (P)</t>
  </si>
  <si>
    <t>AKASA AIR</t>
  </si>
  <si>
    <t>VISTARA AIRLINES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</si>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</sst>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4" borderId="1" xfId="0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16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 wrapText="1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0" fontId="7" fillId="3" borderId="1" xfId="0" applyFont="1" applyFill="1" applyBorder="1" applyAlignment="1"/>
    <xf numFmtId="164" fontId="7" fillId="3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tabSelected="1" view="pageBreakPreview" topLeftCell="A53" zoomScale="70" zoomScaleNormal="55" zoomScaleSheetLayoutView="70" workbookViewId="0">
      <selection activeCell="H20" sqref="H20"/>
    </sheetView>
  </sheetViews>
  <sheetFormatPr defaultRowHeight="15" x14ac:dyDescent="0.25"/>
  <cols>
    <col min="1" max="1" width="9" style="1" customWidth="1"/>
    <col min="2" max="2" width="41.5703125" style="7" customWidth="1"/>
    <col min="3" max="3" width="15.85546875" style="1" customWidth="1"/>
    <col min="4" max="4" width="17" style="1" customWidth="1"/>
    <col min="5" max="5" width="15.85546875" style="1" customWidth="1"/>
    <col min="6" max="6" width="16.7109375" style="1" customWidth="1"/>
    <col min="7" max="8" width="16.85546875" style="1" customWidth="1"/>
    <col min="9" max="9" width="13.28515625" style="1" customWidth="1"/>
    <col min="10" max="10" width="15.28515625" style="1" customWidth="1"/>
    <col min="11" max="11" width="15.5703125" style="1" customWidth="1"/>
    <col min="12" max="12" width="17" style="1" customWidth="1"/>
    <col min="13" max="13" width="12.28515625" style="1" customWidth="1"/>
    <col min="14" max="14" width="16" style="1" customWidth="1"/>
    <col min="15" max="19" width="12.42578125" style="1" customWidth="1"/>
    <col min="20" max="16384" width="9.140625" style="1"/>
  </cols>
  <sheetData>
    <row r="1" spans="1:14" ht="52.5" customHeight="1" x14ac:dyDescent="0.25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s="2" customFormat="1" ht="25.5" customHeight="1" x14ac:dyDescent="0.25">
      <c r="A2" s="22" t="s">
        <v>28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21" customHeight="1" x14ac:dyDescent="0.25">
      <c r="A3" s="23" t="s">
        <v>35</v>
      </c>
      <c r="B3" s="24" t="s">
        <v>0</v>
      </c>
      <c r="C3" s="23" t="s">
        <v>99</v>
      </c>
      <c r="D3" s="23"/>
      <c r="E3" s="23"/>
      <c r="F3" s="23"/>
      <c r="G3" s="23" t="s">
        <v>100</v>
      </c>
      <c r="H3" s="23"/>
      <c r="I3" s="23"/>
      <c r="J3" s="23"/>
      <c r="K3" s="23" t="s">
        <v>101</v>
      </c>
      <c r="L3" s="23"/>
      <c r="M3" s="23"/>
      <c r="N3" s="23"/>
    </row>
    <row r="4" spans="1:14" s="7" customFormat="1" ht="33.75" customHeight="1" x14ac:dyDescent="0.25">
      <c r="A4" s="23"/>
      <c r="B4" s="24"/>
      <c r="C4" s="20" t="s">
        <v>29</v>
      </c>
      <c r="D4" s="20" t="s">
        <v>30</v>
      </c>
      <c r="E4" s="20" t="s">
        <v>31</v>
      </c>
      <c r="F4" s="20" t="s">
        <v>32</v>
      </c>
      <c r="G4" s="20" t="s">
        <v>29</v>
      </c>
      <c r="H4" s="20" t="s">
        <v>30</v>
      </c>
      <c r="I4" s="20" t="s">
        <v>31</v>
      </c>
      <c r="J4" s="20" t="s">
        <v>32</v>
      </c>
      <c r="K4" s="20" t="s">
        <v>29</v>
      </c>
      <c r="L4" s="20" t="s">
        <v>30</v>
      </c>
      <c r="M4" s="20" t="s">
        <v>31</v>
      </c>
      <c r="N4" s="20" t="s">
        <v>32</v>
      </c>
    </row>
    <row r="5" spans="1:14" ht="27" customHeight="1" x14ac:dyDescent="0.25">
      <c r="A5" s="29" t="s">
        <v>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s="4" customFormat="1" ht="19.5" customHeight="1" x14ac:dyDescent="0.25">
      <c r="A6" s="3">
        <v>1</v>
      </c>
      <c r="B6" s="9" t="s">
        <v>2</v>
      </c>
      <c r="C6" s="10">
        <v>398928</v>
      </c>
      <c r="D6" s="10">
        <v>401712</v>
      </c>
      <c r="E6" s="10">
        <v>3644.8</v>
      </c>
      <c r="F6" s="10">
        <v>7155.5168000000003</v>
      </c>
      <c r="G6" s="10">
        <v>376854</v>
      </c>
      <c r="H6" s="10">
        <v>380565</v>
      </c>
      <c r="I6" s="10">
        <v>4328.9114</v>
      </c>
      <c r="J6" s="10">
        <v>7879.7784999999994</v>
      </c>
      <c r="K6" s="10">
        <v>382021</v>
      </c>
      <c r="L6" s="10">
        <v>403362</v>
      </c>
      <c r="M6" s="10">
        <v>5123.7835000000023</v>
      </c>
      <c r="N6" s="10">
        <v>8596.2299000000021</v>
      </c>
    </row>
    <row r="7" spans="1:14" s="4" customFormat="1" ht="19.5" customHeight="1" x14ac:dyDescent="0.25">
      <c r="A7" s="3">
        <v>2</v>
      </c>
      <c r="B7" s="9" t="s">
        <v>55</v>
      </c>
      <c r="C7" s="10">
        <v>217303</v>
      </c>
      <c r="D7" s="10">
        <v>247918</v>
      </c>
      <c r="E7" s="10">
        <v>27.245999999999999</v>
      </c>
      <c r="F7" s="10">
        <v>1062.9114999999999</v>
      </c>
      <c r="G7" s="10">
        <v>194649</v>
      </c>
      <c r="H7" s="10">
        <v>238119</v>
      </c>
      <c r="I7" s="10">
        <v>523.471</v>
      </c>
      <c r="J7" s="10">
        <v>2632.9830000000002</v>
      </c>
      <c r="K7" s="10">
        <v>207049</v>
      </c>
      <c r="L7" s="10">
        <v>249922</v>
      </c>
      <c r="M7" s="10">
        <v>105.7225</v>
      </c>
      <c r="N7" s="10">
        <v>1404.123</v>
      </c>
    </row>
    <row r="8" spans="1:14" s="4" customFormat="1" ht="19.5" customHeight="1" x14ac:dyDescent="0.25">
      <c r="A8" s="3">
        <v>3</v>
      </c>
      <c r="B8" s="9" t="s">
        <v>97</v>
      </c>
      <c r="C8" s="10"/>
      <c r="D8" s="10"/>
      <c r="E8" s="10">
        <v>0</v>
      </c>
      <c r="F8" s="10">
        <v>0</v>
      </c>
      <c r="G8" s="10"/>
      <c r="H8" s="10"/>
      <c r="I8" s="10">
        <v>0</v>
      </c>
      <c r="J8" s="10">
        <v>0</v>
      </c>
      <c r="K8" s="10">
        <v>79</v>
      </c>
      <c r="L8" s="10">
        <v>380</v>
      </c>
      <c r="M8" s="10">
        <v>0</v>
      </c>
      <c r="N8" s="10">
        <v>0</v>
      </c>
    </row>
    <row r="9" spans="1:14" s="4" customFormat="1" ht="19.5" customHeight="1" x14ac:dyDescent="0.25">
      <c r="A9" s="3">
        <v>4</v>
      </c>
      <c r="B9" s="9" t="s">
        <v>76</v>
      </c>
      <c r="C9" s="10">
        <v>1793</v>
      </c>
      <c r="D9" s="10">
        <v>1587</v>
      </c>
      <c r="E9" s="10">
        <v>0</v>
      </c>
      <c r="F9" s="10">
        <v>0</v>
      </c>
      <c r="G9" s="10">
        <v>1364</v>
      </c>
      <c r="H9" s="10">
        <v>1515</v>
      </c>
      <c r="I9" s="10">
        <v>0</v>
      </c>
      <c r="J9" s="10">
        <v>0</v>
      </c>
      <c r="K9" s="10">
        <v>1789</v>
      </c>
      <c r="L9" s="10">
        <v>1542</v>
      </c>
      <c r="M9" s="10">
        <v>0</v>
      </c>
      <c r="N9" s="10">
        <v>0</v>
      </c>
    </row>
    <row r="10" spans="1:14" s="4" customFormat="1" ht="19.5" customHeight="1" x14ac:dyDescent="0.25">
      <c r="A10" s="3">
        <v>5</v>
      </c>
      <c r="B10" s="9" t="s">
        <v>56</v>
      </c>
      <c r="C10" s="10">
        <v>496784</v>
      </c>
      <c r="D10" s="10">
        <v>539686</v>
      </c>
      <c r="E10" s="10">
        <v>327.33999999999997</v>
      </c>
      <c r="F10" s="10">
        <v>1734.3209999999999</v>
      </c>
      <c r="G10" s="10">
        <v>467692</v>
      </c>
      <c r="H10" s="10">
        <v>498356</v>
      </c>
      <c r="I10" s="10">
        <v>323.67700000000002</v>
      </c>
      <c r="J10" s="10">
        <v>1951.867</v>
      </c>
      <c r="K10" s="10">
        <v>483809</v>
      </c>
      <c r="L10" s="10">
        <v>528048</v>
      </c>
      <c r="M10" s="10">
        <v>329.78500000000003</v>
      </c>
      <c r="N10" s="10">
        <v>2182.982</v>
      </c>
    </row>
    <row r="11" spans="1:14" s="4" customFormat="1" ht="19.5" customHeight="1" x14ac:dyDescent="0.25">
      <c r="A11" s="3">
        <v>6</v>
      </c>
      <c r="B11" s="9" t="s">
        <v>57</v>
      </c>
      <c r="C11" s="10">
        <v>89504</v>
      </c>
      <c r="D11" s="10">
        <v>96274</v>
      </c>
      <c r="E11" s="10">
        <v>126.72216</v>
      </c>
      <c r="F11" s="10">
        <v>555.02035000000012</v>
      </c>
      <c r="G11" s="10">
        <v>73091</v>
      </c>
      <c r="H11" s="10">
        <v>80103</v>
      </c>
      <c r="I11" s="10">
        <v>17.67079</v>
      </c>
      <c r="J11" s="10">
        <v>187.82925999999998</v>
      </c>
      <c r="K11" s="10">
        <v>75307</v>
      </c>
      <c r="L11" s="10">
        <v>81476</v>
      </c>
      <c r="M11" s="10">
        <v>55.606139999999996</v>
      </c>
      <c r="N11" s="10">
        <v>669.38927000000001</v>
      </c>
    </row>
    <row r="12" spans="1:14" s="4" customFormat="1" ht="19.5" customHeight="1" x14ac:dyDescent="0.25">
      <c r="A12" s="3">
        <v>7</v>
      </c>
      <c r="B12" s="12" t="s">
        <v>98</v>
      </c>
      <c r="C12" s="10">
        <v>115213</v>
      </c>
      <c r="D12" s="10">
        <v>123141</v>
      </c>
      <c r="E12" s="10">
        <v>898.09910000000002</v>
      </c>
      <c r="F12" s="10">
        <v>1916.1131199999998</v>
      </c>
      <c r="G12" s="10">
        <v>113859</v>
      </c>
      <c r="H12" s="10">
        <v>118339</v>
      </c>
      <c r="I12" s="10">
        <v>1085.6338299999998</v>
      </c>
      <c r="J12" s="10">
        <v>1957.7033900000001</v>
      </c>
      <c r="K12" s="10">
        <v>126056</v>
      </c>
      <c r="L12" s="10">
        <v>134967</v>
      </c>
      <c r="M12" s="10">
        <v>1339.72776</v>
      </c>
      <c r="N12" s="10">
        <v>2395.0584800000001</v>
      </c>
    </row>
    <row r="13" spans="1:14" ht="31.5" customHeight="1" x14ac:dyDescent="0.25">
      <c r="A13" s="30" t="s">
        <v>3</v>
      </c>
      <c r="B13" s="30"/>
      <c r="C13" s="5">
        <f>SUM(C6:C12)</f>
        <v>1319525</v>
      </c>
      <c r="D13" s="5">
        <f>SUM(D6:D12)</f>
        <v>1410318</v>
      </c>
      <c r="E13" s="5">
        <f t="shared" ref="E13:N13" si="0">SUM(E6:E12)</f>
        <v>5024.207260000001</v>
      </c>
      <c r="F13" s="5">
        <f t="shared" si="0"/>
        <v>12423.88277</v>
      </c>
      <c r="G13" s="5">
        <f t="shared" si="0"/>
        <v>1227509</v>
      </c>
      <c r="H13" s="5">
        <f t="shared" si="0"/>
        <v>1316997</v>
      </c>
      <c r="I13" s="5">
        <f t="shared" si="0"/>
        <v>6279.36402</v>
      </c>
      <c r="J13" s="5">
        <f t="shared" si="0"/>
        <v>14610.161150000002</v>
      </c>
      <c r="K13" s="5">
        <f t="shared" si="0"/>
        <v>1276110</v>
      </c>
      <c r="L13" s="5">
        <f t="shared" si="0"/>
        <v>1399697</v>
      </c>
      <c r="M13" s="5">
        <f t="shared" si="0"/>
        <v>6954.6249000000016</v>
      </c>
      <c r="N13" s="5">
        <f t="shared" si="0"/>
        <v>15247.782650000001</v>
      </c>
    </row>
    <row r="14" spans="1:14" ht="28.5" customHeight="1" x14ac:dyDescent="0.25">
      <c r="A14" s="31" t="s">
        <v>4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spans="1:14" ht="24.75" customHeight="1" x14ac:dyDescent="0.25">
      <c r="A15" s="8">
        <v>1</v>
      </c>
      <c r="B15" s="9" t="s">
        <v>77</v>
      </c>
      <c r="C15" s="10">
        <v>615</v>
      </c>
      <c r="D15" s="10">
        <v>258</v>
      </c>
      <c r="E15" s="11">
        <v>1.002</v>
      </c>
      <c r="F15" s="11">
        <v>2.4180000000000001</v>
      </c>
      <c r="G15" s="10">
        <v>389</v>
      </c>
      <c r="H15" s="10">
        <v>471</v>
      </c>
      <c r="I15" s="11">
        <v>0</v>
      </c>
      <c r="J15" s="11">
        <v>4.375</v>
      </c>
      <c r="K15" s="10">
        <v>367</v>
      </c>
      <c r="L15" s="10">
        <v>504</v>
      </c>
      <c r="M15" s="11">
        <v>0.15</v>
      </c>
      <c r="N15" s="11">
        <v>3.109</v>
      </c>
    </row>
    <row r="16" spans="1:14" ht="31.5" customHeight="1" x14ac:dyDescent="0.25">
      <c r="A16" s="8">
        <v>2</v>
      </c>
      <c r="B16" s="12" t="s">
        <v>5</v>
      </c>
      <c r="C16" s="10">
        <v>13491</v>
      </c>
      <c r="D16" s="10">
        <v>14219</v>
      </c>
      <c r="E16" s="13">
        <v>16.518999999999998</v>
      </c>
      <c r="F16" s="13">
        <v>406.04399999999998</v>
      </c>
      <c r="G16" s="10">
        <v>12770</v>
      </c>
      <c r="H16" s="10">
        <v>12561</v>
      </c>
      <c r="I16" s="11">
        <v>41.948999999999998</v>
      </c>
      <c r="J16" s="11">
        <v>477.512</v>
      </c>
      <c r="K16" s="10">
        <v>12348</v>
      </c>
      <c r="L16" s="10">
        <v>14873</v>
      </c>
      <c r="M16" s="11">
        <v>28.521999999999998</v>
      </c>
      <c r="N16" s="11">
        <v>568.54600000000005</v>
      </c>
    </row>
    <row r="17" spans="1:17" ht="31.5" customHeight="1" x14ac:dyDescent="0.25">
      <c r="A17" s="8">
        <v>3</v>
      </c>
      <c r="B17" s="9" t="s">
        <v>6</v>
      </c>
      <c r="C17" s="10">
        <v>0</v>
      </c>
      <c r="D17" s="10">
        <v>0</v>
      </c>
      <c r="E17" s="11">
        <v>5704.88</v>
      </c>
      <c r="F17" s="11">
        <v>6683.0659999999998</v>
      </c>
      <c r="G17" s="10">
        <v>0</v>
      </c>
      <c r="H17" s="10">
        <v>0</v>
      </c>
      <c r="I17" s="11">
        <v>5750.0720000000001</v>
      </c>
      <c r="J17" s="11">
        <v>6103.3919999999998</v>
      </c>
      <c r="K17" s="14">
        <v>0</v>
      </c>
      <c r="L17" s="14">
        <v>0</v>
      </c>
      <c r="M17" s="13">
        <v>5951.723</v>
      </c>
      <c r="N17" s="13">
        <v>6604.424</v>
      </c>
    </row>
    <row r="18" spans="1:17" ht="31.5" customHeight="1" x14ac:dyDescent="0.25">
      <c r="A18" s="8">
        <v>4</v>
      </c>
      <c r="B18" s="9" t="s">
        <v>7</v>
      </c>
      <c r="C18" s="10">
        <v>76849</v>
      </c>
      <c r="D18" s="10">
        <v>80828</v>
      </c>
      <c r="E18" s="11">
        <v>53.417999999999999</v>
      </c>
      <c r="F18" s="11">
        <v>1071.864</v>
      </c>
      <c r="G18" s="10">
        <v>69854</v>
      </c>
      <c r="H18" s="10">
        <v>75571</v>
      </c>
      <c r="I18" s="11">
        <v>57.973999999999997</v>
      </c>
      <c r="J18" s="11">
        <v>1015.874</v>
      </c>
      <c r="K18" s="10">
        <v>73483</v>
      </c>
      <c r="L18" s="10">
        <v>76496</v>
      </c>
      <c r="M18" s="11">
        <v>147.34</v>
      </c>
      <c r="N18" s="11">
        <v>1120.4349999999999</v>
      </c>
    </row>
    <row r="19" spans="1:17" ht="31.5" customHeight="1" x14ac:dyDescent="0.25">
      <c r="A19" s="8">
        <v>5</v>
      </c>
      <c r="B19" s="9" t="s">
        <v>64</v>
      </c>
      <c r="C19" s="10">
        <v>43145</v>
      </c>
      <c r="D19" s="10">
        <v>52577</v>
      </c>
      <c r="E19" s="11">
        <v>68.400999999999996</v>
      </c>
      <c r="F19" s="11">
        <v>258.99400000000003</v>
      </c>
      <c r="G19" s="10">
        <v>32737</v>
      </c>
      <c r="H19" s="10">
        <v>43686</v>
      </c>
      <c r="I19" s="11">
        <v>67.894000000000005</v>
      </c>
      <c r="J19" s="11">
        <v>350.95499999999998</v>
      </c>
      <c r="K19" s="10">
        <v>36515</v>
      </c>
      <c r="L19" s="10">
        <v>39498</v>
      </c>
      <c r="M19" s="11">
        <v>55.485999999999997</v>
      </c>
      <c r="N19" s="11">
        <v>442.27199999999999</v>
      </c>
    </row>
    <row r="20" spans="1:17" ht="31.5" customHeight="1" x14ac:dyDescent="0.25">
      <c r="A20" s="8">
        <v>6</v>
      </c>
      <c r="B20" s="9" t="s">
        <v>58</v>
      </c>
      <c r="C20" s="14">
        <v>40158</v>
      </c>
      <c r="D20" s="14">
        <v>44015</v>
      </c>
      <c r="E20" s="11">
        <v>100.976</v>
      </c>
      <c r="F20" s="11">
        <v>383.88799999999998</v>
      </c>
      <c r="G20" s="10">
        <v>37846</v>
      </c>
      <c r="H20" s="10">
        <v>37810</v>
      </c>
      <c r="I20" s="11">
        <v>91.341999999999999</v>
      </c>
      <c r="J20" s="11">
        <v>319.7</v>
      </c>
      <c r="K20" s="10">
        <v>39088</v>
      </c>
      <c r="L20" s="10">
        <v>40316</v>
      </c>
      <c r="M20" s="11">
        <v>68.839500000000001</v>
      </c>
      <c r="N20" s="11">
        <v>469.94049999999999</v>
      </c>
    </row>
    <row r="21" spans="1:17" s="6" customFormat="1" ht="27.95" customHeight="1" x14ac:dyDescent="0.25">
      <c r="A21" s="8">
        <v>7</v>
      </c>
      <c r="B21" s="15" t="s">
        <v>45</v>
      </c>
      <c r="C21" s="14">
        <v>6110</v>
      </c>
      <c r="D21" s="14">
        <v>6012</v>
      </c>
      <c r="E21" s="11">
        <v>143.10400000000001</v>
      </c>
      <c r="F21" s="11">
        <v>231.36699999999999</v>
      </c>
      <c r="G21" s="10">
        <v>9197</v>
      </c>
      <c r="H21" s="10">
        <v>9591</v>
      </c>
      <c r="I21" s="11">
        <v>107.989</v>
      </c>
      <c r="J21" s="11">
        <v>222.91800000000001</v>
      </c>
      <c r="K21" s="10">
        <v>4986</v>
      </c>
      <c r="L21" s="10">
        <v>6150</v>
      </c>
      <c r="M21" s="11">
        <v>129.80699999999999</v>
      </c>
      <c r="N21" s="11">
        <v>289.94799999999998</v>
      </c>
      <c r="O21" s="1"/>
      <c r="P21" s="1"/>
      <c r="Q21" s="1"/>
    </row>
    <row r="22" spans="1:17" s="6" customFormat="1" ht="27.95" customHeight="1" x14ac:dyDescent="0.25">
      <c r="A22" s="8">
        <v>8</v>
      </c>
      <c r="B22" s="12" t="s">
        <v>89</v>
      </c>
      <c r="C22" s="10">
        <v>7108</v>
      </c>
      <c r="D22" s="10">
        <v>7053</v>
      </c>
      <c r="E22" s="11">
        <v>0</v>
      </c>
      <c r="F22" s="11">
        <v>49.734999999999999</v>
      </c>
      <c r="G22" s="14">
        <v>5262</v>
      </c>
      <c r="H22" s="14">
        <v>5816</v>
      </c>
      <c r="I22" s="13">
        <v>6.6120000000000001</v>
      </c>
      <c r="J22" s="13">
        <v>91.778000000000006</v>
      </c>
      <c r="K22" s="14">
        <v>6014</v>
      </c>
      <c r="L22" s="14">
        <v>6780</v>
      </c>
      <c r="M22" s="13">
        <v>20.423999999999999</v>
      </c>
      <c r="N22" s="13">
        <v>103.59399999999999</v>
      </c>
      <c r="O22" s="1"/>
      <c r="P22" s="1"/>
      <c r="Q22" s="1"/>
    </row>
    <row r="23" spans="1:17" s="6" customFormat="1" ht="27.95" customHeight="1" x14ac:dyDescent="0.25">
      <c r="A23" s="8">
        <v>9</v>
      </c>
      <c r="B23" s="9" t="s">
        <v>40</v>
      </c>
      <c r="C23" s="10">
        <v>15866</v>
      </c>
      <c r="D23" s="10">
        <v>14222</v>
      </c>
      <c r="E23" s="11">
        <v>151.34100000000001</v>
      </c>
      <c r="F23" s="11">
        <v>179.06700000000001</v>
      </c>
      <c r="G23" s="10">
        <v>13939</v>
      </c>
      <c r="H23" s="10">
        <v>13322</v>
      </c>
      <c r="I23" s="11">
        <v>137.10599999999999</v>
      </c>
      <c r="J23" s="11">
        <v>225.608</v>
      </c>
      <c r="K23" s="10">
        <v>12568</v>
      </c>
      <c r="L23" s="10">
        <v>14918</v>
      </c>
      <c r="M23" s="11">
        <v>142.39699999999999</v>
      </c>
      <c r="N23" s="11">
        <v>246.327</v>
      </c>
      <c r="O23" s="1"/>
      <c r="P23" s="1"/>
      <c r="Q23" s="1"/>
    </row>
    <row r="24" spans="1:17" s="6" customFormat="1" ht="27.75" customHeight="1" x14ac:dyDescent="0.25">
      <c r="A24" s="8">
        <v>10</v>
      </c>
      <c r="B24" s="9" t="s">
        <v>41</v>
      </c>
      <c r="C24" s="10">
        <v>32117</v>
      </c>
      <c r="D24" s="10">
        <v>35281</v>
      </c>
      <c r="E24" s="11">
        <v>854.03700000000003</v>
      </c>
      <c r="F24" s="11">
        <v>1373.05</v>
      </c>
      <c r="G24" s="10">
        <v>28945</v>
      </c>
      <c r="H24" s="10">
        <v>34113</v>
      </c>
      <c r="I24" s="11">
        <v>1084.3530000000001</v>
      </c>
      <c r="J24" s="11">
        <v>1439.6120000000001</v>
      </c>
      <c r="K24" s="10">
        <v>19089</v>
      </c>
      <c r="L24" s="10">
        <v>28698</v>
      </c>
      <c r="M24" s="11">
        <v>702.58399999999995</v>
      </c>
      <c r="N24" s="11">
        <v>892.27099999999996</v>
      </c>
      <c r="O24" s="1"/>
      <c r="P24" s="1"/>
      <c r="Q24" s="1"/>
    </row>
    <row r="25" spans="1:17" s="6" customFormat="1" ht="27.75" customHeight="1" x14ac:dyDescent="0.25">
      <c r="A25" s="8">
        <v>11</v>
      </c>
      <c r="B25" s="9" t="s">
        <v>46</v>
      </c>
      <c r="C25" s="10">
        <v>7132</v>
      </c>
      <c r="D25" s="10">
        <v>6683</v>
      </c>
      <c r="E25" s="11">
        <v>22.120999999999999</v>
      </c>
      <c r="F25" s="11">
        <v>409.65499999999997</v>
      </c>
      <c r="G25" s="10">
        <v>11705</v>
      </c>
      <c r="H25" s="10">
        <v>7226</v>
      </c>
      <c r="I25" s="11">
        <v>1.768</v>
      </c>
      <c r="J25" s="11">
        <v>336.78899999999999</v>
      </c>
      <c r="K25" s="10">
        <v>4506</v>
      </c>
      <c r="L25" s="10">
        <v>5141</v>
      </c>
      <c r="M25" s="11">
        <v>8.5879999999999992</v>
      </c>
      <c r="N25" s="11">
        <v>267.51499999999999</v>
      </c>
      <c r="O25" s="1"/>
      <c r="P25" s="1"/>
      <c r="Q25" s="1"/>
    </row>
    <row r="26" spans="1:17" s="6" customFormat="1" ht="27.75" customHeight="1" x14ac:dyDescent="0.25">
      <c r="A26" s="8">
        <v>12</v>
      </c>
      <c r="B26" s="15" t="s">
        <v>53</v>
      </c>
      <c r="C26" s="14">
        <v>344</v>
      </c>
      <c r="D26" s="14">
        <v>607</v>
      </c>
      <c r="E26" s="11">
        <v>0</v>
      </c>
      <c r="F26" s="11">
        <v>1.254</v>
      </c>
      <c r="G26" s="10">
        <v>475</v>
      </c>
      <c r="H26" s="10">
        <v>558</v>
      </c>
      <c r="I26" s="11">
        <v>0</v>
      </c>
      <c r="J26" s="11">
        <v>2.81</v>
      </c>
      <c r="K26" s="10">
        <v>437</v>
      </c>
      <c r="L26" s="10">
        <v>513</v>
      </c>
      <c r="M26" s="11">
        <v>0</v>
      </c>
      <c r="N26" s="11">
        <v>2.5049999999999999</v>
      </c>
      <c r="O26" s="1"/>
      <c r="P26" s="1"/>
      <c r="Q26" s="1"/>
    </row>
    <row r="27" spans="1:17" s="6" customFormat="1" ht="27.75" customHeight="1" x14ac:dyDescent="0.25">
      <c r="A27" s="8">
        <v>13</v>
      </c>
      <c r="B27" s="9" t="s">
        <v>65</v>
      </c>
      <c r="C27" s="10">
        <v>2471</v>
      </c>
      <c r="D27" s="10">
        <v>3099</v>
      </c>
      <c r="E27" s="11">
        <v>6.5019999999999998</v>
      </c>
      <c r="F27" s="11">
        <v>35.062400000000004</v>
      </c>
      <c r="G27" s="10">
        <v>1970</v>
      </c>
      <c r="H27" s="10">
        <v>2311</v>
      </c>
      <c r="I27" s="11">
        <v>5.2119999999999997</v>
      </c>
      <c r="J27" s="11">
        <v>17.588099999999997</v>
      </c>
      <c r="K27" s="10">
        <v>2184</v>
      </c>
      <c r="L27" s="10">
        <v>2264</v>
      </c>
      <c r="M27" s="11">
        <v>0.216</v>
      </c>
      <c r="N27" s="11">
        <v>54.836199999999998</v>
      </c>
      <c r="O27" s="1"/>
      <c r="P27" s="1"/>
      <c r="Q27" s="1"/>
    </row>
    <row r="28" spans="1:17" s="6" customFormat="1" ht="27.75" customHeight="1" x14ac:dyDescent="0.25">
      <c r="A28" s="8">
        <v>14</v>
      </c>
      <c r="B28" s="9" t="s">
        <v>44</v>
      </c>
      <c r="C28" s="10">
        <v>3598</v>
      </c>
      <c r="D28" s="10">
        <v>4820</v>
      </c>
      <c r="E28" s="11">
        <v>285.82400000000001</v>
      </c>
      <c r="F28" s="11">
        <v>381.86500000000001</v>
      </c>
      <c r="G28" s="10">
        <v>4156</v>
      </c>
      <c r="H28" s="10">
        <v>5927</v>
      </c>
      <c r="I28" s="11">
        <v>313.88099999999997</v>
      </c>
      <c r="J28" s="11">
        <v>429.495</v>
      </c>
      <c r="K28" s="10">
        <v>4109</v>
      </c>
      <c r="L28" s="10">
        <v>6881</v>
      </c>
      <c r="M28" s="11">
        <v>411.57100000000003</v>
      </c>
      <c r="N28" s="11">
        <v>438.12900000000002</v>
      </c>
      <c r="O28" s="1"/>
      <c r="P28" s="1"/>
      <c r="Q28" s="1"/>
    </row>
    <row r="29" spans="1:17" s="6" customFormat="1" ht="27.75" customHeight="1" x14ac:dyDescent="0.25">
      <c r="A29" s="8">
        <v>15</v>
      </c>
      <c r="B29" s="9" t="s">
        <v>66</v>
      </c>
      <c r="C29" s="10">
        <v>8015</v>
      </c>
      <c r="D29" s="10">
        <v>6050</v>
      </c>
      <c r="E29" s="11">
        <v>77.897999999999996</v>
      </c>
      <c r="F29" s="11">
        <v>55.024999999999999</v>
      </c>
      <c r="G29" s="10">
        <v>7137</v>
      </c>
      <c r="H29" s="10">
        <v>5579</v>
      </c>
      <c r="I29" s="11">
        <v>94.584000000000003</v>
      </c>
      <c r="J29" s="11">
        <v>64.572000000000003</v>
      </c>
      <c r="K29" s="10">
        <v>7030</v>
      </c>
      <c r="L29" s="10">
        <v>6392</v>
      </c>
      <c r="M29" s="11">
        <v>52.361199999999997</v>
      </c>
      <c r="N29" s="11">
        <v>56.639000000000003</v>
      </c>
      <c r="O29" s="1"/>
      <c r="P29" s="1"/>
      <c r="Q29" s="1"/>
    </row>
    <row r="30" spans="1:17" s="6" customFormat="1" ht="27.75" customHeight="1" x14ac:dyDescent="0.25">
      <c r="A30" s="8">
        <v>16</v>
      </c>
      <c r="B30" s="9" t="s">
        <v>67</v>
      </c>
      <c r="C30" s="10"/>
      <c r="D30" s="10"/>
      <c r="E30" s="11">
        <v>0</v>
      </c>
      <c r="F30" s="11">
        <v>0</v>
      </c>
      <c r="G30" s="10">
        <v>0</v>
      </c>
      <c r="H30" s="10">
        <v>0</v>
      </c>
      <c r="I30" s="11">
        <v>1.629</v>
      </c>
      <c r="J30" s="11">
        <v>67.594999999999999</v>
      </c>
      <c r="K30" s="10">
        <v>0</v>
      </c>
      <c r="L30" s="10">
        <v>0</v>
      </c>
      <c r="M30" s="11">
        <v>0</v>
      </c>
      <c r="N30" s="11">
        <v>12.204000000000001</v>
      </c>
      <c r="O30" s="1"/>
      <c r="P30" s="1"/>
      <c r="Q30" s="1"/>
    </row>
    <row r="31" spans="1:17" s="6" customFormat="1" ht="27.75" customHeight="1" x14ac:dyDescent="0.25">
      <c r="A31" s="8">
        <v>17</v>
      </c>
      <c r="B31" s="9" t="s">
        <v>84</v>
      </c>
      <c r="C31" s="10">
        <v>2935</v>
      </c>
      <c r="D31" s="10">
        <v>3539</v>
      </c>
      <c r="E31" s="11">
        <v>58.421500000000002</v>
      </c>
      <c r="F31" s="11">
        <v>16.592500000000001</v>
      </c>
      <c r="G31" s="10">
        <v>1894</v>
      </c>
      <c r="H31" s="10">
        <v>2866</v>
      </c>
      <c r="I31" s="11">
        <v>73.34</v>
      </c>
      <c r="J31" s="11">
        <v>28.789200000000001</v>
      </c>
      <c r="K31" s="10">
        <v>1951</v>
      </c>
      <c r="L31" s="10">
        <v>3190</v>
      </c>
      <c r="M31" s="11">
        <v>83.56410000000001</v>
      </c>
      <c r="N31" s="11">
        <v>40.308099999999996</v>
      </c>
      <c r="O31" s="1"/>
      <c r="P31" s="1"/>
      <c r="Q31" s="1"/>
    </row>
    <row r="32" spans="1:17" s="6" customFormat="1" ht="27.75" customHeight="1" x14ac:dyDescent="0.25">
      <c r="A32" s="8">
        <v>18</v>
      </c>
      <c r="B32" s="9" t="s">
        <v>75</v>
      </c>
      <c r="C32" s="10">
        <v>1191</v>
      </c>
      <c r="D32" s="10">
        <v>1669</v>
      </c>
      <c r="E32" s="11">
        <v>0</v>
      </c>
      <c r="F32" s="11">
        <v>7.1210000000000004</v>
      </c>
      <c r="G32" s="10">
        <v>1779</v>
      </c>
      <c r="H32" s="10">
        <v>1957</v>
      </c>
      <c r="I32" s="11">
        <v>0</v>
      </c>
      <c r="J32" s="11">
        <v>7.9489999999999998</v>
      </c>
      <c r="K32" s="10">
        <v>1637</v>
      </c>
      <c r="L32" s="10">
        <v>1916</v>
      </c>
      <c r="M32" s="13">
        <v>0</v>
      </c>
      <c r="N32" s="13">
        <v>4.6920000000000002</v>
      </c>
      <c r="O32" s="1"/>
      <c r="P32" s="1"/>
      <c r="Q32" s="1"/>
    </row>
    <row r="33" spans="1:17" s="6" customFormat="1" ht="27.75" customHeight="1" x14ac:dyDescent="0.25">
      <c r="A33" s="8">
        <v>19</v>
      </c>
      <c r="B33" s="9" t="s">
        <v>78</v>
      </c>
      <c r="C33" s="10">
        <v>3699</v>
      </c>
      <c r="D33" s="10">
        <v>4370</v>
      </c>
      <c r="E33" s="11">
        <v>0</v>
      </c>
      <c r="F33" s="11">
        <v>13.667</v>
      </c>
      <c r="G33" s="10">
        <v>3727</v>
      </c>
      <c r="H33" s="10">
        <v>3935</v>
      </c>
      <c r="I33" s="11">
        <v>0</v>
      </c>
      <c r="J33" s="11">
        <v>30.606999999999999</v>
      </c>
      <c r="K33" s="10">
        <v>2423</v>
      </c>
      <c r="L33" s="10">
        <v>2790</v>
      </c>
      <c r="M33" s="11">
        <v>0</v>
      </c>
      <c r="N33" s="11">
        <v>5.8760000000000003</v>
      </c>
      <c r="O33" s="1"/>
      <c r="P33" s="1"/>
      <c r="Q33" s="1"/>
    </row>
    <row r="34" spans="1:17" s="6" customFormat="1" ht="27.75" customHeight="1" x14ac:dyDescent="0.25">
      <c r="A34" s="8">
        <v>20</v>
      </c>
      <c r="B34" s="9" t="s">
        <v>79</v>
      </c>
      <c r="C34" s="10">
        <v>2712</v>
      </c>
      <c r="D34" s="10">
        <v>2782</v>
      </c>
      <c r="E34" s="11">
        <v>0</v>
      </c>
      <c r="F34" s="11">
        <v>0</v>
      </c>
      <c r="G34" s="14">
        <v>1930</v>
      </c>
      <c r="H34" s="14">
        <v>2125</v>
      </c>
      <c r="I34" s="11">
        <v>0</v>
      </c>
      <c r="J34" s="11">
        <v>0</v>
      </c>
      <c r="K34" s="10">
        <v>2550</v>
      </c>
      <c r="L34" s="10">
        <v>2950</v>
      </c>
      <c r="M34" s="11">
        <v>0</v>
      </c>
      <c r="N34" s="11">
        <v>0</v>
      </c>
      <c r="O34" s="1"/>
      <c r="P34" s="1"/>
      <c r="Q34" s="1"/>
    </row>
    <row r="35" spans="1:17" s="6" customFormat="1" ht="27.75" customHeight="1" x14ac:dyDescent="0.25">
      <c r="A35" s="8">
        <v>21</v>
      </c>
      <c r="B35" s="9" t="s">
        <v>8</v>
      </c>
      <c r="C35" s="10">
        <v>7789</v>
      </c>
      <c r="D35" s="10">
        <v>9956</v>
      </c>
      <c r="E35" s="11">
        <v>5.9240000000000004</v>
      </c>
      <c r="F35" s="11">
        <v>82.281000000000006</v>
      </c>
      <c r="G35" s="14">
        <v>10568</v>
      </c>
      <c r="H35" s="14">
        <v>11645</v>
      </c>
      <c r="I35" s="11">
        <v>18.837</v>
      </c>
      <c r="J35" s="11">
        <v>119.852</v>
      </c>
      <c r="K35" s="10">
        <v>9977</v>
      </c>
      <c r="L35" s="10">
        <v>11474</v>
      </c>
      <c r="M35" s="11">
        <v>41.170999999999999</v>
      </c>
      <c r="N35" s="11">
        <v>141.21700000000001</v>
      </c>
      <c r="O35" s="1"/>
      <c r="P35" s="1"/>
      <c r="Q35" s="1"/>
    </row>
    <row r="36" spans="1:17" s="6" customFormat="1" ht="27.75" customHeight="1" x14ac:dyDescent="0.25">
      <c r="A36" s="8">
        <v>22</v>
      </c>
      <c r="B36" s="12" t="s">
        <v>71</v>
      </c>
      <c r="C36" s="10">
        <v>54580</v>
      </c>
      <c r="D36" s="10">
        <v>57993</v>
      </c>
      <c r="E36" s="11">
        <v>1384.17</v>
      </c>
      <c r="F36" s="11">
        <v>3416.28</v>
      </c>
      <c r="G36" s="10">
        <v>48205</v>
      </c>
      <c r="H36" s="10">
        <v>51273</v>
      </c>
      <c r="I36" s="11">
        <v>1700.87</v>
      </c>
      <c r="J36" s="11">
        <v>3465.78</v>
      </c>
      <c r="K36" s="10">
        <v>46418</v>
      </c>
      <c r="L36" s="10">
        <v>53911</v>
      </c>
      <c r="M36" s="11">
        <v>1792.47</v>
      </c>
      <c r="N36" s="11">
        <v>3894.99</v>
      </c>
      <c r="O36" s="1"/>
      <c r="P36" s="1"/>
      <c r="Q36" s="1"/>
    </row>
    <row r="37" spans="1:17" s="6" customFormat="1" ht="27.95" customHeight="1" x14ac:dyDescent="0.25">
      <c r="A37" s="8">
        <v>23</v>
      </c>
      <c r="B37" s="9" t="s">
        <v>85</v>
      </c>
      <c r="C37" s="10">
        <v>512</v>
      </c>
      <c r="D37" s="10">
        <v>535</v>
      </c>
      <c r="E37" s="11">
        <v>0</v>
      </c>
      <c r="F37" s="11">
        <v>0</v>
      </c>
      <c r="G37" s="10">
        <v>355</v>
      </c>
      <c r="H37" s="10">
        <v>413</v>
      </c>
      <c r="I37" s="11">
        <v>0</v>
      </c>
      <c r="J37" s="11">
        <v>0</v>
      </c>
      <c r="K37" s="10">
        <v>528</v>
      </c>
      <c r="L37" s="10">
        <v>553</v>
      </c>
      <c r="M37" s="11">
        <v>0</v>
      </c>
      <c r="N37" s="11">
        <v>0</v>
      </c>
      <c r="O37" s="1"/>
      <c r="P37" s="1"/>
      <c r="Q37" s="1"/>
    </row>
    <row r="38" spans="1:17" s="6" customFormat="1" ht="27.95" customHeight="1" x14ac:dyDescent="0.25">
      <c r="A38" s="8">
        <v>24</v>
      </c>
      <c r="B38" s="9" t="s">
        <v>9</v>
      </c>
      <c r="C38" s="10">
        <v>28883</v>
      </c>
      <c r="D38" s="10">
        <v>35200</v>
      </c>
      <c r="E38" s="11">
        <v>6410.4877000000006</v>
      </c>
      <c r="F38" s="11">
        <v>2684.99881</v>
      </c>
      <c r="G38" s="10">
        <v>21794</v>
      </c>
      <c r="H38" s="10">
        <v>32426</v>
      </c>
      <c r="I38" s="11">
        <v>7582.5169999999998</v>
      </c>
      <c r="J38" s="11">
        <v>4114.9019640000006</v>
      </c>
      <c r="K38" s="10">
        <v>32571</v>
      </c>
      <c r="L38" s="10">
        <v>39555</v>
      </c>
      <c r="M38" s="11">
        <v>6992.4491999999991</v>
      </c>
      <c r="N38" s="11">
        <v>4094.29259</v>
      </c>
      <c r="O38" s="1"/>
      <c r="P38" s="1"/>
      <c r="Q38" s="1"/>
    </row>
    <row r="39" spans="1:17" s="6" customFormat="1" ht="27.95" customHeight="1" x14ac:dyDescent="0.25">
      <c r="A39" s="8">
        <v>25</v>
      </c>
      <c r="B39" s="15" t="s">
        <v>59</v>
      </c>
      <c r="C39" s="10">
        <v>0</v>
      </c>
      <c r="D39" s="10">
        <v>0</v>
      </c>
      <c r="E39" s="11">
        <v>139.69200000000001</v>
      </c>
      <c r="F39" s="11">
        <v>181.90199999999999</v>
      </c>
      <c r="G39" s="14">
        <v>0</v>
      </c>
      <c r="H39" s="14">
        <v>0</v>
      </c>
      <c r="I39" s="11">
        <v>167.667</v>
      </c>
      <c r="J39" s="11">
        <v>229.87700000000001</v>
      </c>
      <c r="K39" s="10">
        <v>0</v>
      </c>
      <c r="L39" s="10">
        <v>0</v>
      </c>
      <c r="M39" s="11">
        <v>168.43100000000001</v>
      </c>
      <c r="N39" s="11">
        <v>276.08999999999997</v>
      </c>
      <c r="O39" s="1"/>
      <c r="P39" s="1"/>
      <c r="Q39" s="1"/>
    </row>
    <row r="40" spans="1:17" s="6" customFormat="1" ht="27.95" customHeight="1" x14ac:dyDescent="0.25">
      <c r="A40" s="8">
        <v>26</v>
      </c>
      <c r="B40" s="12" t="s">
        <v>10</v>
      </c>
      <c r="C40" s="10">
        <v>3438</v>
      </c>
      <c r="D40" s="10">
        <v>3059</v>
      </c>
      <c r="E40" s="11">
        <v>0.41460000000000002</v>
      </c>
      <c r="F40" s="11">
        <v>4.1017999999999999</v>
      </c>
      <c r="G40" s="10">
        <v>2987</v>
      </c>
      <c r="H40" s="10">
        <v>2825</v>
      </c>
      <c r="I40" s="11">
        <v>0.12129999999999999</v>
      </c>
      <c r="J40" s="11">
        <v>7.5668999999999995</v>
      </c>
      <c r="K40" s="10">
        <v>3521</v>
      </c>
      <c r="L40" s="10">
        <v>3843</v>
      </c>
      <c r="M40" s="11">
        <v>0.34116000000000002</v>
      </c>
      <c r="N40" s="11">
        <v>4.1346000000000007</v>
      </c>
      <c r="O40" s="1"/>
      <c r="P40" s="1"/>
      <c r="Q40" s="1"/>
    </row>
    <row r="41" spans="1:17" s="6" customFormat="1" ht="27.95" customHeight="1" x14ac:dyDescent="0.25">
      <c r="A41" s="8">
        <v>27</v>
      </c>
      <c r="B41" s="9" t="s">
        <v>90</v>
      </c>
      <c r="C41" s="10">
        <v>2955</v>
      </c>
      <c r="D41" s="10">
        <v>4733</v>
      </c>
      <c r="E41" s="11">
        <v>39.08</v>
      </c>
      <c r="F41" s="11">
        <v>304.86799999999999</v>
      </c>
      <c r="G41" s="10">
        <v>2489</v>
      </c>
      <c r="H41" s="10">
        <v>3842</v>
      </c>
      <c r="I41" s="11">
        <v>72.796000000000006</v>
      </c>
      <c r="J41" s="11">
        <v>447.48700000000002</v>
      </c>
      <c r="K41" s="10">
        <v>1578</v>
      </c>
      <c r="L41" s="10">
        <v>2615</v>
      </c>
      <c r="M41" s="11">
        <v>83.444999999999993</v>
      </c>
      <c r="N41" s="11">
        <v>618.28300000000002</v>
      </c>
      <c r="O41" s="1"/>
      <c r="P41" s="1"/>
      <c r="Q41" s="1"/>
    </row>
    <row r="42" spans="1:17" s="6" customFormat="1" ht="27.95" customHeight="1" x14ac:dyDescent="0.25">
      <c r="A42" s="8">
        <v>28</v>
      </c>
      <c r="B42" s="9" t="s">
        <v>36</v>
      </c>
      <c r="C42" s="10">
        <v>238577</v>
      </c>
      <c r="D42" s="10">
        <v>256254</v>
      </c>
      <c r="E42" s="11">
        <v>4435.4250480000001</v>
      </c>
      <c r="F42" s="11">
        <v>11729.267629</v>
      </c>
      <c r="G42" s="10">
        <v>213327</v>
      </c>
      <c r="H42" s="10">
        <v>238614</v>
      </c>
      <c r="I42" s="11">
        <v>5059.3372099999997</v>
      </c>
      <c r="J42" s="11">
        <v>12178.636966999999</v>
      </c>
      <c r="K42" s="10">
        <v>219398</v>
      </c>
      <c r="L42" s="10">
        <v>245096</v>
      </c>
      <c r="M42" s="11">
        <v>5918.6677020000006</v>
      </c>
      <c r="N42" s="11">
        <v>13470.137744</v>
      </c>
      <c r="O42" s="1"/>
      <c r="P42" s="1"/>
      <c r="Q42" s="1"/>
    </row>
    <row r="43" spans="1:17" s="6" customFormat="1" ht="27.95" customHeight="1" x14ac:dyDescent="0.25">
      <c r="A43" s="8">
        <v>29</v>
      </c>
      <c r="B43" s="9" t="s">
        <v>37</v>
      </c>
      <c r="C43" s="10">
        <v>19636</v>
      </c>
      <c r="D43" s="10">
        <v>27954</v>
      </c>
      <c r="E43" s="11">
        <v>375.43</v>
      </c>
      <c r="F43" s="11">
        <v>1464.752</v>
      </c>
      <c r="G43" s="10">
        <v>19423</v>
      </c>
      <c r="H43" s="10">
        <v>24540</v>
      </c>
      <c r="I43" s="11">
        <v>531.32000000000005</v>
      </c>
      <c r="J43" s="11">
        <v>2438.1489999999999</v>
      </c>
      <c r="K43" s="10">
        <v>19057</v>
      </c>
      <c r="L43" s="10">
        <v>25508</v>
      </c>
      <c r="M43" s="13">
        <v>569.73599999999999</v>
      </c>
      <c r="N43" s="13">
        <v>1818.3109999999999</v>
      </c>
      <c r="O43" s="1"/>
      <c r="P43" s="1"/>
      <c r="Q43" s="1"/>
    </row>
    <row r="44" spans="1:17" s="6" customFormat="1" ht="27.95" customHeight="1" x14ac:dyDescent="0.25">
      <c r="A44" s="8">
        <v>30</v>
      </c>
      <c r="B44" s="9" t="s">
        <v>91</v>
      </c>
      <c r="C44" s="10">
        <v>119061</v>
      </c>
      <c r="D44" s="10">
        <v>119057</v>
      </c>
      <c r="E44" s="11">
        <v>1260.328</v>
      </c>
      <c r="F44" s="11">
        <v>3273.366</v>
      </c>
      <c r="G44" s="10">
        <v>105738</v>
      </c>
      <c r="H44" s="10">
        <v>114039</v>
      </c>
      <c r="I44" s="11">
        <v>1404.5840000000001</v>
      </c>
      <c r="J44" s="11">
        <v>3456.123</v>
      </c>
      <c r="K44" s="10">
        <v>108550</v>
      </c>
      <c r="L44" s="10">
        <v>116022</v>
      </c>
      <c r="M44" s="13">
        <v>1418.6120000000001</v>
      </c>
      <c r="N44" s="13">
        <v>3333.0639999999999</v>
      </c>
      <c r="O44" s="1"/>
      <c r="P44" s="1"/>
      <c r="Q44" s="1"/>
    </row>
    <row r="45" spans="1:17" s="6" customFormat="1" ht="27.95" customHeight="1" x14ac:dyDescent="0.25">
      <c r="A45" s="8">
        <v>31</v>
      </c>
      <c r="B45" s="9" t="s">
        <v>11</v>
      </c>
      <c r="C45" s="10">
        <v>0</v>
      </c>
      <c r="D45" s="10">
        <v>0</v>
      </c>
      <c r="E45" s="11">
        <v>970.86599999999999</v>
      </c>
      <c r="F45" s="11">
        <v>1526.165</v>
      </c>
      <c r="G45" s="10">
        <v>0</v>
      </c>
      <c r="H45" s="10">
        <v>0</v>
      </c>
      <c r="I45" s="11">
        <v>926.04</v>
      </c>
      <c r="J45" s="11">
        <v>1507.066</v>
      </c>
      <c r="K45" s="10">
        <v>0</v>
      </c>
      <c r="L45" s="10">
        <v>0</v>
      </c>
      <c r="M45" s="13">
        <v>1281.2840000000001</v>
      </c>
      <c r="N45" s="13">
        <v>1732.873</v>
      </c>
      <c r="O45" s="1"/>
      <c r="P45" s="1"/>
      <c r="Q45" s="1"/>
    </row>
    <row r="46" spans="1:17" s="6" customFormat="1" ht="27.95" customHeight="1" x14ac:dyDescent="0.25">
      <c r="A46" s="8">
        <v>32</v>
      </c>
      <c r="B46" s="9" t="s">
        <v>92</v>
      </c>
      <c r="C46" s="10">
        <v>5203</v>
      </c>
      <c r="D46" s="10">
        <v>7465</v>
      </c>
      <c r="E46" s="11">
        <v>118.761</v>
      </c>
      <c r="F46" s="11">
        <v>398.238</v>
      </c>
      <c r="G46" s="10">
        <v>5789</v>
      </c>
      <c r="H46" s="10">
        <v>6119</v>
      </c>
      <c r="I46" s="11">
        <v>163.19499999999999</v>
      </c>
      <c r="J46" s="11">
        <v>364.17200000000003</v>
      </c>
      <c r="K46" s="10">
        <v>5330</v>
      </c>
      <c r="L46" s="10">
        <v>7293</v>
      </c>
      <c r="M46" s="13">
        <v>191.75200000000001</v>
      </c>
      <c r="N46" s="13">
        <v>333.721</v>
      </c>
      <c r="O46" s="1"/>
      <c r="P46" s="1"/>
      <c r="Q46" s="1"/>
    </row>
    <row r="47" spans="1:17" s="6" customFormat="1" ht="27.95" customHeight="1" x14ac:dyDescent="0.25">
      <c r="A47" s="8">
        <v>33</v>
      </c>
      <c r="B47" s="9" t="s">
        <v>80</v>
      </c>
      <c r="C47" s="10">
        <v>1696</v>
      </c>
      <c r="D47" s="10">
        <v>1410</v>
      </c>
      <c r="E47" s="11">
        <v>0</v>
      </c>
      <c r="F47" s="11">
        <v>0</v>
      </c>
      <c r="G47" s="10"/>
      <c r="H47" s="10"/>
      <c r="I47" s="11">
        <v>0</v>
      </c>
      <c r="J47" s="11">
        <v>0</v>
      </c>
      <c r="K47" s="10"/>
      <c r="L47" s="10"/>
      <c r="M47" s="13">
        <v>0</v>
      </c>
      <c r="N47" s="13">
        <v>0</v>
      </c>
      <c r="O47" s="1"/>
      <c r="P47" s="1"/>
      <c r="Q47" s="1"/>
    </row>
    <row r="48" spans="1:17" s="6" customFormat="1" ht="27.95" customHeight="1" x14ac:dyDescent="0.25">
      <c r="A48" s="8">
        <v>34</v>
      </c>
      <c r="B48" s="9" t="s">
        <v>49</v>
      </c>
      <c r="C48" s="10">
        <v>20760</v>
      </c>
      <c r="D48" s="10">
        <v>22885</v>
      </c>
      <c r="E48" s="11">
        <v>12.465</v>
      </c>
      <c r="F48" s="11">
        <v>167.79599999999999</v>
      </c>
      <c r="G48" s="10">
        <v>18545</v>
      </c>
      <c r="H48" s="10">
        <v>20863</v>
      </c>
      <c r="I48" s="11">
        <v>12.271000000000001</v>
      </c>
      <c r="J48" s="11">
        <v>151.38999999999999</v>
      </c>
      <c r="K48" s="10">
        <v>19247</v>
      </c>
      <c r="L48" s="10">
        <v>20688</v>
      </c>
      <c r="M48" s="13">
        <v>22.45</v>
      </c>
      <c r="N48" s="13">
        <v>183.02741999999998</v>
      </c>
      <c r="O48" s="1"/>
      <c r="P48" s="1"/>
      <c r="Q48" s="1"/>
    </row>
    <row r="49" spans="1:17" s="6" customFormat="1" ht="27.95" customHeight="1" x14ac:dyDescent="0.25">
      <c r="A49" s="8">
        <v>35</v>
      </c>
      <c r="B49" s="9" t="s">
        <v>60</v>
      </c>
      <c r="C49" s="10">
        <v>20049</v>
      </c>
      <c r="D49" s="10">
        <v>21727</v>
      </c>
      <c r="E49" s="11">
        <v>14.811999999999999</v>
      </c>
      <c r="F49" s="11">
        <v>181.208</v>
      </c>
      <c r="G49" s="10">
        <v>18702</v>
      </c>
      <c r="H49" s="10">
        <v>20933</v>
      </c>
      <c r="I49" s="11">
        <v>24.138999999999999</v>
      </c>
      <c r="J49" s="11">
        <v>208.898</v>
      </c>
      <c r="K49" s="10">
        <v>20215</v>
      </c>
      <c r="L49" s="10">
        <v>23561</v>
      </c>
      <c r="M49" s="13">
        <v>23.366</v>
      </c>
      <c r="N49" s="13">
        <v>226.01300000000001</v>
      </c>
      <c r="O49" s="1"/>
      <c r="P49" s="1"/>
      <c r="Q49" s="1"/>
    </row>
    <row r="50" spans="1:17" s="6" customFormat="1" ht="27.95" customHeight="1" x14ac:dyDescent="0.25">
      <c r="A50" s="8">
        <v>36</v>
      </c>
      <c r="B50" s="9" t="s">
        <v>38</v>
      </c>
      <c r="C50" s="10">
        <v>43796</v>
      </c>
      <c r="D50" s="10">
        <v>51080</v>
      </c>
      <c r="E50" s="11">
        <v>9.702</v>
      </c>
      <c r="F50" s="11">
        <v>502.57499999999999</v>
      </c>
      <c r="G50" s="10">
        <v>37705</v>
      </c>
      <c r="H50" s="10">
        <v>45634</v>
      </c>
      <c r="I50" s="11">
        <v>18.588999999999999</v>
      </c>
      <c r="J50" s="11">
        <v>498.88900000000001</v>
      </c>
      <c r="K50" s="10">
        <v>41170</v>
      </c>
      <c r="L50" s="10">
        <v>46876</v>
      </c>
      <c r="M50" s="13">
        <v>12.654999999999999</v>
      </c>
      <c r="N50" s="13">
        <v>551.90300000000002</v>
      </c>
      <c r="O50" s="1"/>
      <c r="P50" s="1"/>
      <c r="Q50" s="1"/>
    </row>
    <row r="51" spans="1:17" s="6" customFormat="1" ht="27.95" customHeight="1" x14ac:dyDescent="0.25">
      <c r="A51" s="8">
        <v>37</v>
      </c>
      <c r="B51" s="9" t="s">
        <v>93</v>
      </c>
      <c r="C51" s="10">
        <v>428</v>
      </c>
      <c r="D51" s="10">
        <v>288</v>
      </c>
      <c r="E51" s="11">
        <v>2.4129999999999998</v>
      </c>
      <c r="F51" s="11">
        <v>0.375</v>
      </c>
      <c r="G51" s="10">
        <v>265</v>
      </c>
      <c r="H51" s="10">
        <v>352</v>
      </c>
      <c r="I51" s="11">
        <v>0.251</v>
      </c>
      <c r="J51" s="11">
        <v>13.741</v>
      </c>
      <c r="K51" s="10">
        <v>733</v>
      </c>
      <c r="L51" s="10">
        <v>352</v>
      </c>
      <c r="M51" s="13">
        <v>2.9000000000000001E-2</v>
      </c>
      <c r="N51" s="13">
        <v>5.2110000000000003</v>
      </c>
      <c r="O51" s="1"/>
      <c r="P51" s="1"/>
      <c r="Q51" s="1"/>
    </row>
    <row r="52" spans="1:17" s="6" customFormat="1" ht="27.95" customHeight="1" x14ac:dyDescent="0.25">
      <c r="A52" s="8">
        <v>38</v>
      </c>
      <c r="B52" s="9" t="s">
        <v>12</v>
      </c>
      <c r="C52" s="10">
        <v>2623</v>
      </c>
      <c r="D52" s="10">
        <v>2742</v>
      </c>
      <c r="E52" s="11">
        <v>0</v>
      </c>
      <c r="F52" s="11">
        <v>1.6</v>
      </c>
      <c r="G52" s="10">
        <v>2374</v>
      </c>
      <c r="H52" s="10">
        <v>2437</v>
      </c>
      <c r="I52" s="11">
        <v>0.12</v>
      </c>
      <c r="J52" s="11">
        <v>1.8</v>
      </c>
      <c r="K52" s="10">
        <v>2157</v>
      </c>
      <c r="L52" s="10">
        <v>2519</v>
      </c>
      <c r="M52" s="13">
        <v>0.95199999999999996</v>
      </c>
      <c r="N52" s="13">
        <v>1.212</v>
      </c>
      <c r="O52" s="1"/>
      <c r="P52" s="1"/>
      <c r="Q52" s="1"/>
    </row>
    <row r="53" spans="1:17" s="6" customFormat="1" ht="27.95" customHeight="1" x14ac:dyDescent="0.25">
      <c r="A53" s="8">
        <v>39</v>
      </c>
      <c r="B53" s="9" t="s">
        <v>13</v>
      </c>
      <c r="C53" s="10">
        <v>5249</v>
      </c>
      <c r="D53" s="10">
        <v>6555</v>
      </c>
      <c r="E53" s="11">
        <v>0.46500000000000002</v>
      </c>
      <c r="F53" s="11">
        <v>65.037999999999997</v>
      </c>
      <c r="G53" s="10">
        <v>4590</v>
      </c>
      <c r="H53" s="10">
        <v>4604</v>
      </c>
      <c r="I53" s="11">
        <v>0</v>
      </c>
      <c r="J53" s="11">
        <v>70.153000000000006</v>
      </c>
      <c r="K53" s="10">
        <v>2399</v>
      </c>
      <c r="L53" s="10">
        <v>3256</v>
      </c>
      <c r="M53" s="13">
        <v>1.0999999999999999E-2</v>
      </c>
      <c r="N53" s="13">
        <v>116.011</v>
      </c>
      <c r="O53" s="1"/>
      <c r="P53" s="1"/>
      <c r="Q53" s="1"/>
    </row>
    <row r="54" spans="1:17" s="6" customFormat="1" ht="27.95" customHeight="1" x14ac:dyDescent="0.25">
      <c r="A54" s="8">
        <v>40</v>
      </c>
      <c r="B54" s="9" t="s">
        <v>14</v>
      </c>
      <c r="C54" s="10">
        <v>4338</v>
      </c>
      <c r="D54" s="10">
        <v>5139</v>
      </c>
      <c r="E54" s="11">
        <v>412.29</v>
      </c>
      <c r="F54" s="11">
        <v>321.65100000000001</v>
      </c>
      <c r="G54" s="10">
        <v>4413</v>
      </c>
      <c r="H54" s="10">
        <v>5080</v>
      </c>
      <c r="I54" s="11">
        <v>630.745</v>
      </c>
      <c r="J54" s="11">
        <v>342.42599999999999</v>
      </c>
      <c r="K54" s="10">
        <v>4270</v>
      </c>
      <c r="L54" s="10">
        <v>6000</v>
      </c>
      <c r="M54" s="11">
        <v>475.596</v>
      </c>
      <c r="N54" s="11">
        <v>440.053</v>
      </c>
      <c r="O54" s="1"/>
      <c r="P54" s="1"/>
      <c r="Q54" s="1"/>
    </row>
    <row r="55" spans="1:17" s="6" customFormat="1" ht="27.95" customHeight="1" x14ac:dyDescent="0.25">
      <c r="A55" s="8">
        <v>41</v>
      </c>
      <c r="B55" s="9" t="s">
        <v>54</v>
      </c>
      <c r="C55" s="10">
        <v>10393</v>
      </c>
      <c r="D55" s="10">
        <v>13132</v>
      </c>
      <c r="E55" s="11">
        <v>29.692</v>
      </c>
      <c r="F55" s="11">
        <v>163.54599999999999</v>
      </c>
      <c r="G55" s="10">
        <v>9536</v>
      </c>
      <c r="H55" s="10">
        <v>12386</v>
      </c>
      <c r="I55" s="11">
        <v>37.438000000000002</v>
      </c>
      <c r="J55" s="11">
        <v>165.93799999999999</v>
      </c>
      <c r="K55" s="10">
        <v>10239</v>
      </c>
      <c r="L55" s="10">
        <v>11645</v>
      </c>
      <c r="M55" s="11">
        <v>41.206000000000003</v>
      </c>
      <c r="N55" s="11">
        <v>233.108</v>
      </c>
      <c r="O55" s="1"/>
      <c r="P55" s="1"/>
      <c r="Q55" s="1"/>
    </row>
    <row r="56" spans="1:17" s="6" customFormat="1" ht="27.95" customHeight="1" x14ac:dyDescent="0.25">
      <c r="A56" s="8">
        <v>42</v>
      </c>
      <c r="B56" s="9" t="s">
        <v>15</v>
      </c>
      <c r="C56" s="10">
        <v>6922</v>
      </c>
      <c r="D56" s="10">
        <v>7782</v>
      </c>
      <c r="E56" s="11">
        <v>0.63300000000000001</v>
      </c>
      <c r="F56" s="11">
        <v>20.265000000000001</v>
      </c>
      <c r="G56" s="10">
        <v>5717</v>
      </c>
      <c r="H56" s="10">
        <v>6608</v>
      </c>
      <c r="I56" s="11">
        <v>0.98799999999999999</v>
      </c>
      <c r="J56" s="11">
        <v>31.344000000000001</v>
      </c>
      <c r="K56" s="10">
        <v>5505</v>
      </c>
      <c r="L56" s="10">
        <v>6209</v>
      </c>
      <c r="M56" s="11">
        <v>0.35699999999999998</v>
      </c>
      <c r="N56" s="11">
        <v>45.584000000000003</v>
      </c>
      <c r="O56" s="1"/>
      <c r="P56" s="1"/>
      <c r="Q56" s="1"/>
    </row>
    <row r="57" spans="1:17" s="6" customFormat="1" ht="27.95" customHeight="1" x14ac:dyDescent="0.25">
      <c r="A57" s="8">
        <v>43</v>
      </c>
      <c r="B57" s="9" t="s">
        <v>42</v>
      </c>
      <c r="C57" s="10">
        <v>24075</v>
      </c>
      <c r="D57" s="10">
        <v>24691</v>
      </c>
      <c r="E57" s="11">
        <v>826.50599999999997</v>
      </c>
      <c r="F57" s="11">
        <v>1256.135</v>
      </c>
      <c r="G57" s="10">
        <v>21763</v>
      </c>
      <c r="H57" s="10">
        <v>23486</v>
      </c>
      <c r="I57" s="11">
        <v>1010.646</v>
      </c>
      <c r="J57" s="11">
        <v>1068.078</v>
      </c>
      <c r="K57" s="10">
        <v>22010</v>
      </c>
      <c r="L57" s="10">
        <v>25962</v>
      </c>
      <c r="M57" s="11">
        <v>1097.962</v>
      </c>
      <c r="N57" s="11">
        <v>1122.635</v>
      </c>
      <c r="O57" s="1"/>
      <c r="P57" s="1"/>
      <c r="Q57" s="1"/>
    </row>
    <row r="58" spans="1:17" s="6" customFormat="1" ht="27.95" customHeight="1" x14ac:dyDescent="0.25">
      <c r="A58" s="8">
        <v>44</v>
      </c>
      <c r="B58" s="9" t="s">
        <v>16</v>
      </c>
      <c r="C58" s="10">
        <v>2968</v>
      </c>
      <c r="D58" s="10">
        <v>2594</v>
      </c>
      <c r="E58" s="11">
        <v>259.77600000000001</v>
      </c>
      <c r="F58" s="11">
        <v>372.05700000000002</v>
      </c>
      <c r="G58" s="10">
        <v>2219</v>
      </c>
      <c r="H58" s="10">
        <v>3078</v>
      </c>
      <c r="I58" s="11">
        <v>252.00800000000001</v>
      </c>
      <c r="J58" s="11">
        <v>419.42099999999999</v>
      </c>
      <c r="K58" s="10">
        <v>2308</v>
      </c>
      <c r="L58" s="10">
        <v>3575</v>
      </c>
      <c r="M58" s="11">
        <v>309.62799999999999</v>
      </c>
      <c r="N58" s="11">
        <v>591.35299999999995</v>
      </c>
      <c r="O58" s="1"/>
      <c r="P58" s="1"/>
      <c r="Q58" s="1"/>
    </row>
    <row r="59" spans="1:17" s="6" customFormat="1" ht="27.95" customHeight="1" x14ac:dyDescent="0.25">
      <c r="A59" s="8">
        <v>45</v>
      </c>
      <c r="B59" s="9" t="s">
        <v>47</v>
      </c>
      <c r="C59" s="10">
        <v>22515</v>
      </c>
      <c r="D59" s="10">
        <v>29710</v>
      </c>
      <c r="E59" s="11">
        <v>0</v>
      </c>
      <c r="F59" s="11">
        <v>860.447</v>
      </c>
      <c r="G59" s="10">
        <v>16821</v>
      </c>
      <c r="H59" s="10">
        <v>24202</v>
      </c>
      <c r="I59" s="11">
        <v>0</v>
      </c>
      <c r="J59" s="11">
        <v>888.61800000000005</v>
      </c>
      <c r="K59" s="10">
        <v>16501</v>
      </c>
      <c r="L59" s="10">
        <v>24018</v>
      </c>
      <c r="M59" s="11">
        <v>0</v>
      </c>
      <c r="N59" s="11">
        <v>763.47799999999995</v>
      </c>
      <c r="O59" s="1"/>
      <c r="P59" s="1"/>
      <c r="Q59" s="1"/>
    </row>
    <row r="60" spans="1:17" s="6" customFormat="1" ht="27.95" customHeight="1" x14ac:dyDescent="0.25">
      <c r="A60" s="8">
        <v>46</v>
      </c>
      <c r="B60" s="9" t="s">
        <v>94</v>
      </c>
      <c r="C60" s="10">
        <v>4629</v>
      </c>
      <c r="D60" s="10">
        <v>4981</v>
      </c>
      <c r="E60" s="11">
        <v>104.485</v>
      </c>
      <c r="F60" s="11">
        <v>263.83999999999997</v>
      </c>
      <c r="G60" s="10">
        <v>4985</v>
      </c>
      <c r="H60" s="10">
        <v>5369</v>
      </c>
      <c r="I60" s="11">
        <v>95.043000000000006</v>
      </c>
      <c r="J60" s="11">
        <v>323.34100000000001</v>
      </c>
      <c r="K60" s="10">
        <v>3850</v>
      </c>
      <c r="L60" s="10">
        <v>5264</v>
      </c>
      <c r="M60" s="11">
        <v>112.827</v>
      </c>
      <c r="N60" s="11">
        <v>279.72199999999998</v>
      </c>
      <c r="O60" s="1"/>
      <c r="P60" s="1"/>
      <c r="Q60" s="1"/>
    </row>
    <row r="61" spans="1:17" s="6" customFormat="1" ht="27.95" customHeight="1" x14ac:dyDescent="0.25">
      <c r="A61" s="8">
        <v>47</v>
      </c>
      <c r="B61" s="9" t="s">
        <v>17</v>
      </c>
      <c r="C61" s="10">
        <v>53204</v>
      </c>
      <c r="D61" s="10">
        <v>57989</v>
      </c>
      <c r="E61" s="11">
        <v>2383.558</v>
      </c>
      <c r="F61" s="11">
        <v>2263.5410000000002</v>
      </c>
      <c r="G61" s="10">
        <v>48693</v>
      </c>
      <c r="H61" s="10">
        <v>55602</v>
      </c>
      <c r="I61" s="11">
        <v>1878.164</v>
      </c>
      <c r="J61" s="11">
        <v>2432.0920000000001</v>
      </c>
      <c r="K61" s="10">
        <v>42780</v>
      </c>
      <c r="L61" s="10">
        <v>55288</v>
      </c>
      <c r="M61" s="11">
        <v>2106.681</v>
      </c>
      <c r="N61" s="11">
        <v>2371.837</v>
      </c>
      <c r="O61" s="1"/>
      <c r="P61" s="1"/>
      <c r="Q61" s="1"/>
    </row>
    <row r="62" spans="1:17" s="6" customFormat="1" ht="27.95" customHeight="1" x14ac:dyDescent="0.25">
      <c r="A62" s="8">
        <v>48</v>
      </c>
      <c r="B62" s="9" t="s">
        <v>18</v>
      </c>
      <c r="C62" s="10">
        <v>1804</v>
      </c>
      <c r="D62" s="10">
        <v>1841</v>
      </c>
      <c r="E62" s="11">
        <v>5.9459999999999997</v>
      </c>
      <c r="F62" s="11">
        <v>90.335100000000011</v>
      </c>
      <c r="G62" s="10">
        <v>2161</v>
      </c>
      <c r="H62" s="10">
        <v>1824</v>
      </c>
      <c r="I62" s="11">
        <v>6.508</v>
      </c>
      <c r="J62" s="11">
        <v>208.988</v>
      </c>
      <c r="K62" s="10">
        <v>2525</v>
      </c>
      <c r="L62" s="10">
        <v>1407</v>
      </c>
      <c r="M62" s="11">
        <v>5.6180000000000003</v>
      </c>
      <c r="N62" s="11">
        <v>152.61000000000001</v>
      </c>
      <c r="O62" s="1"/>
      <c r="P62" s="1"/>
      <c r="Q62" s="1"/>
    </row>
    <row r="63" spans="1:17" s="6" customFormat="1" ht="27.95" customHeight="1" x14ac:dyDescent="0.25">
      <c r="A63" s="8">
        <v>49</v>
      </c>
      <c r="B63" s="9" t="s">
        <v>19</v>
      </c>
      <c r="C63" s="10">
        <v>46672</v>
      </c>
      <c r="D63" s="10">
        <v>53539</v>
      </c>
      <c r="E63" s="11">
        <v>1203.693</v>
      </c>
      <c r="F63" s="11">
        <v>1431.0160000000001</v>
      </c>
      <c r="G63" s="10">
        <v>44295</v>
      </c>
      <c r="H63" s="10">
        <v>50412</v>
      </c>
      <c r="I63" s="11">
        <v>1162.8900000000001</v>
      </c>
      <c r="J63" s="11">
        <v>1380.8630000000001</v>
      </c>
      <c r="K63" s="10">
        <v>50385</v>
      </c>
      <c r="L63" s="10">
        <v>52653</v>
      </c>
      <c r="M63" s="11">
        <v>1448.269</v>
      </c>
      <c r="N63" s="11">
        <v>1463.3889999999999</v>
      </c>
      <c r="O63" s="1"/>
      <c r="P63" s="1"/>
      <c r="Q63" s="1"/>
    </row>
    <row r="64" spans="1:17" s="6" customFormat="1" ht="27.95" customHeight="1" x14ac:dyDescent="0.25">
      <c r="A64" s="8">
        <v>50</v>
      </c>
      <c r="B64" s="9" t="s">
        <v>48</v>
      </c>
      <c r="C64" s="10">
        <v>20581</v>
      </c>
      <c r="D64" s="10">
        <v>22710</v>
      </c>
      <c r="E64" s="11">
        <v>38.048999999999999</v>
      </c>
      <c r="F64" s="11">
        <v>83.242000000000004</v>
      </c>
      <c r="G64" s="10">
        <v>14526</v>
      </c>
      <c r="H64" s="10">
        <v>15177</v>
      </c>
      <c r="I64" s="11">
        <v>36.801000000000002</v>
      </c>
      <c r="J64" s="11">
        <v>94.191999999999993</v>
      </c>
      <c r="K64" s="10">
        <v>14706</v>
      </c>
      <c r="L64" s="10">
        <v>16353</v>
      </c>
      <c r="M64" s="11">
        <v>54.59</v>
      </c>
      <c r="N64" s="11">
        <v>68.683000000000007</v>
      </c>
      <c r="O64" s="1"/>
      <c r="P64" s="1"/>
      <c r="Q64" s="1"/>
    </row>
    <row r="65" spans="1:17" s="6" customFormat="1" ht="27.95" customHeight="1" x14ac:dyDescent="0.25">
      <c r="A65" s="8">
        <v>51</v>
      </c>
      <c r="B65" s="9" t="s">
        <v>50</v>
      </c>
      <c r="C65" s="10">
        <v>2983</v>
      </c>
      <c r="D65" s="10">
        <v>2579</v>
      </c>
      <c r="E65" s="11">
        <v>16.905999999999999</v>
      </c>
      <c r="F65" s="11">
        <v>6.9486000000000008</v>
      </c>
      <c r="G65" s="10">
        <v>4079</v>
      </c>
      <c r="H65" s="10">
        <v>3142</v>
      </c>
      <c r="I65" s="11">
        <v>14.4</v>
      </c>
      <c r="J65" s="11">
        <v>13.955399999999999</v>
      </c>
      <c r="K65" s="10">
        <v>3581</v>
      </c>
      <c r="L65" s="10">
        <v>2935</v>
      </c>
      <c r="M65" s="11">
        <v>13.2</v>
      </c>
      <c r="N65" s="11">
        <v>14.70565</v>
      </c>
      <c r="O65" s="1"/>
      <c r="P65" s="1"/>
      <c r="Q65" s="1"/>
    </row>
    <row r="66" spans="1:17" s="6" customFormat="1" ht="27.95" customHeight="1" x14ac:dyDescent="0.25">
      <c r="A66" s="8">
        <v>52</v>
      </c>
      <c r="B66" s="9" t="s">
        <v>81</v>
      </c>
      <c r="C66" s="10">
        <v>4724</v>
      </c>
      <c r="D66" s="10">
        <v>4670</v>
      </c>
      <c r="E66" s="11">
        <v>0</v>
      </c>
      <c r="F66" s="11">
        <v>0</v>
      </c>
      <c r="G66" s="10">
        <v>3028</v>
      </c>
      <c r="H66" s="10">
        <v>4015</v>
      </c>
      <c r="I66" s="11">
        <v>0</v>
      </c>
      <c r="J66" s="11">
        <v>0</v>
      </c>
      <c r="K66" s="10">
        <v>3448</v>
      </c>
      <c r="L66" s="10">
        <v>4741</v>
      </c>
      <c r="M66" s="11">
        <v>0</v>
      </c>
      <c r="N66" s="11">
        <v>0</v>
      </c>
      <c r="O66" s="1"/>
      <c r="P66" s="1"/>
      <c r="Q66" s="1"/>
    </row>
    <row r="67" spans="1:17" s="6" customFormat="1" ht="27.95" customHeight="1" x14ac:dyDescent="0.25">
      <c r="A67" s="8">
        <v>53</v>
      </c>
      <c r="B67" s="9" t="s">
        <v>51</v>
      </c>
      <c r="C67" s="10">
        <v>6898</v>
      </c>
      <c r="D67" s="10">
        <v>5982</v>
      </c>
      <c r="E67" s="11">
        <v>34.17</v>
      </c>
      <c r="F67" s="11">
        <v>19.341000000000001</v>
      </c>
      <c r="G67" s="10">
        <v>7140</v>
      </c>
      <c r="H67" s="10">
        <v>7221</v>
      </c>
      <c r="I67" s="11">
        <v>18.353000000000002</v>
      </c>
      <c r="J67" s="11">
        <v>11.260999999999999</v>
      </c>
      <c r="K67" s="10">
        <v>8866</v>
      </c>
      <c r="L67" s="10">
        <v>8849</v>
      </c>
      <c r="M67" s="11">
        <v>15.919</v>
      </c>
      <c r="N67" s="11">
        <v>24.756</v>
      </c>
      <c r="O67" s="1"/>
      <c r="P67" s="1"/>
      <c r="Q67" s="1"/>
    </row>
    <row r="68" spans="1:17" s="6" customFormat="1" ht="27.95" customHeight="1" x14ac:dyDescent="0.25">
      <c r="A68" s="8">
        <v>54</v>
      </c>
      <c r="B68" s="9" t="s">
        <v>68</v>
      </c>
      <c r="C68" s="10">
        <v>1914</v>
      </c>
      <c r="D68" s="10">
        <v>2145</v>
      </c>
      <c r="E68" s="11">
        <v>0</v>
      </c>
      <c r="F68" s="11">
        <v>0</v>
      </c>
      <c r="G68" s="10">
        <v>1985</v>
      </c>
      <c r="H68" s="10">
        <v>2039</v>
      </c>
      <c r="I68" s="11">
        <v>0</v>
      </c>
      <c r="J68" s="11">
        <v>0</v>
      </c>
      <c r="K68" s="10">
        <v>1962</v>
      </c>
      <c r="L68" s="10">
        <v>1976</v>
      </c>
      <c r="M68" s="11">
        <v>0</v>
      </c>
      <c r="N68" s="11">
        <v>0</v>
      </c>
      <c r="O68" s="1"/>
      <c r="P68" s="1"/>
      <c r="Q68" s="1"/>
    </row>
    <row r="69" spans="1:17" s="6" customFormat="1" ht="27.95" customHeight="1" x14ac:dyDescent="0.25">
      <c r="A69" s="8">
        <v>55</v>
      </c>
      <c r="B69" s="9" t="s">
        <v>20</v>
      </c>
      <c r="C69" s="10">
        <v>57588</v>
      </c>
      <c r="D69" s="10">
        <v>76823</v>
      </c>
      <c r="E69" s="11">
        <v>502.70850000000002</v>
      </c>
      <c r="F69" s="11">
        <v>1126.7922800000001</v>
      </c>
      <c r="G69" s="10">
        <v>41784</v>
      </c>
      <c r="H69" s="10">
        <v>62700</v>
      </c>
      <c r="I69" s="11">
        <v>303.18</v>
      </c>
      <c r="J69" s="11">
        <v>1020.7611400000001</v>
      </c>
      <c r="K69" s="10">
        <v>42412</v>
      </c>
      <c r="L69" s="10">
        <v>58065</v>
      </c>
      <c r="M69" s="11">
        <v>390.66318999999999</v>
      </c>
      <c r="N69" s="11">
        <v>1474.34681</v>
      </c>
      <c r="O69" s="1"/>
      <c r="P69" s="1"/>
      <c r="Q69" s="1"/>
    </row>
    <row r="70" spans="1:17" s="6" customFormat="1" ht="27.95" customHeight="1" x14ac:dyDescent="0.25">
      <c r="A70" s="8">
        <v>56</v>
      </c>
      <c r="B70" s="9" t="s">
        <v>69</v>
      </c>
      <c r="C70" s="10">
        <v>5518</v>
      </c>
      <c r="D70" s="10">
        <v>5416</v>
      </c>
      <c r="E70" s="11">
        <v>3.3264999999999998</v>
      </c>
      <c r="F70" s="11">
        <v>71.876360000000005</v>
      </c>
      <c r="G70" s="10">
        <v>4612</v>
      </c>
      <c r="H70" s="10">
        <v>5130</v>
      </c>
      <c r="I70" s="11">
        <v>9.5289999999999999</v>
      </c>
      <c r="J70" s="11">
        <v>49.124000000000002</v>
      </c>
      <c r="K70" s="10">
        <v>2700</v>
      </c>
      <c r="L70" s="10">
        <v>2801</v>
      </c>
      <c r="M70" s="11">
        <v>0.79449999999999998</v>
      </c>
      <c r="N70" s="11">
        <v>62.948149999999998</v>
      </c>
      <c r="O70" s="1"/>
      <c r="P70" s="1"/>
      <c r="Q70" s="1"/>
    </row>
    <row r="71" spans="1:17" s="6" customFormat="1" ht="27.95" customHeight="1" x14ac:dyDescent="0.25">
      <c r="A71" s="8">
        <v>57</v>
      </c>
      <c r="B71" s="9" t="s">
        <v>21</v>
      </c>
      <c r="C71" s="10">
        <v>96631</v>
      </c>
      <c r="D71" s="10">
        <v>98884</v>
      </c>
      <c r="E71" s="11">
        <v>4898.2110000000002</v>
      </c>
      <c r="F71" s="11">
        <v>8967.3209999999999</v>
      </c>
      <c r="G71" s="10">
        <v>85623</v>
      </c>
      <c r="H71" s="10">
        <v>91042</v>
      </c>
      <c r="I71" s="11">
        <v>6075.5659999999998</v>
      </c>
      <c r="J71" s="11">
        <v>9579.6550000000007</v>
      </c>
      <c r="K71" s="10">
        <v>89809</v>
      </c>
      <c r="L71" s="10">
        <v>97746</v>
      </c>
      <c r="M71" s="11">
        <v>7244.1819999999998</v>
      </c>
      <c r="N71" s="11">
        <v>10206.828</v>
      </c>
      <c r="O71" s="1"/>
      <c r="P71" s="1"/>
      <c r="Q71" s="1"/>
    </row>
    <row r="72" spans="1:17" s="6" customFormat="1" ht="27.95" customHeight="1" x14ac:dyDescent="0.25">
      <c r="A72" s="8">
        <v>58</v>
      </c>
      <c r="B72" s="9" t="s">
        <v>52</v>
      </c>
      <c r="C72" s="10">
        <v>564</v>
      </c>
      <c r="D72" s="10">
        <v>988</v>
      </c>
      <c r="E72" s="11">
        <v>0</v>
      </c>
      <c r="F72" s="11">
        <v>4.8540000000000001</v>
      </c>
      <c r="G72" s="10">
        <v>438</v>
      </c>
      <c r="H72" s="10">
        <v>682</v>
      </c>
      <c r="I72" s="11">
        <v>0</v>
      </c>
      <c r="J72" s="11">
        <v>21.68</v>
      </c>
      <c r="K72" s="10">
        <v>272</v>
      </c>
      <c r="L72" s="10">
        <v>395</v>
      </c>
      <c r="M72" s="11">
        <v>0</v>
      </c>
      <c r="N72" s="11">
        <v>3.2679999999999998</v>
      </c>
      <c r="O72" s="1"/>
      <c r="P72" s="1"/>
      <c r="Q72" s="1"/>
    </row>
    <row r="73" spans="1:17" s="6" customFormat="1" ht="27.95" customHeight="1" x14ac:dyDescent="0.25">
      <c r="A73" s="8">
        <v>59</v>
      </c>
      <c r="B73" s="9" t="s">
        <v>86</v>
      </c>
      <c r="C73" s="10">
        <v>15922</v>
      </c>
      <c r="D73" s="10">
        <v>14987</v>
      </c>
      <c r="E73" s="11">
        <v>0</v>
      </c>
      <c r="F73" s="11">
        <v>0</v>
      </c>
      <c r="G73" s="10">
        <v>11636</v>
      </c>
      <c r="H73" s="10">
        <v>12137</v>
      </c>
      <c r="I73" s="11">
        <v>0.40899999999999997</v>
      </c>
      <c r="J73" s="11">
        <v>12.122999999999999</v>
      </c>
      <c r="K73" s="10">
        <v>13132</v>
      </c>
      <c r="L73" s="10">
        <v>12752</v>
      </c>
      <c r="M73" s="11">
        <v>0</v>
      </c>
      <c r="N73" s="11">
        <v>0</v>
      </c>
      <c r="O73" s="1"/>
      <c r="P73" s="1"/>
      <c r="Q73" s="1"/>
    </row>
    <row r="74" spans="1:17" s="6" customFormat="1" ht="27.95" customHeight="1" x14ac:dyDescent="0.25">
      <c r="A74" s="8">
        <v>60</v>
      </c>
      <c r="B74" s="9" t="s">
        <v>70</v>
      </c>
      <c r="C74" s="10">
        <v>64294</v>
      </c>
      <c r="D74" s="10">
        <v>68142</v>
      </c>
      <c r="E74" s="11">
        <v>231.773</v>
      </c>
      <c r="F74" s="11">
        <v>2670.4349999999999</v>
      </c>
      <c r="G74" s="10">
        <v>59867</v>
      </c>
      <c r="H74" s="10">
        <v>61880</v>
      </c>
      <c r="I74" s="11">
        <v>218.9042</v>
      </c>
      <c r="J74" s="11">
        <v>3038.5219999999999</v>
      </c>
      <c r="K74" s="10">
        <v>56838</v>
      </c>
      <c r="L74" s="10">
        <v>62199</v>
      </c>
      <c r="M74" s="11">
        <v>319.93599999999998</v>
      </c>
      <c r="N74" s="11">
        <v>3157.4430000000002</v>
      </c>
      <c r="O74" s="1"/>
      <c r="P74" s="1"/>
      <c r="Q74" s="1"/>
    </row>
    <row r="75" spans="1:17" s="6" customFormat="1" ht="27.95" customHeight="1" x14ac:dyDescent="0.25">
      <c r="A75" s="8">
        <v>61</v>
      </c>
      <c r="B75" s="9" t="s">
        <v>87</v>
      </c>
      <c r="C75" s="10">
        <v>1903</v>
      </c>
      <c r="D75" s="10">
        <v>1852</v>
      </c>
      <c r="E75" s="11">
        <v>0</v>
      </c>
      <c r="F75" s="11">
        <v>0</v>
      </c>
      <c r="G75" s="10">
        <v>1672</v>
      </c>
      <c r="H75" s="10">
        <v>1711</v>
      </c>
      <c r="I75" s="11">
        <v>0</v>
      </c>
      <c r="J75" s="11">
        <v>0</v>
      </c>
      <c r="K75" s="10">
        <v>1873</v>
      </c>
      <c r="L75" s="10">
        <v>2009</v>
      </c>
      <c r="M75" s="11">
        <v>0</v>
      </c>
      <c r="N75" s="11">
        <v>13.49</v>
      </c>
      <c r="O75" s="1"/>
      <c r="P75" s="1"/>
      <c r="Q75" s="1"/>
    </row>
    <row r="76" spans="1:17" s="6" customFormat="1" ht="27.95" customHeight="1" x14ac:dyDescent="0.25">
      <c r="A76" s="8">
        <v>62</v>
      </c>
      <c r="B76" s="9" t="s">
        <v>61</v>
      </c>
      <c r="C76" s="10">
        <v>35369</v>
      </c>
      <c r="D76" s="10">
        <v>31310</v>
      </c>
      <c r="E76" s="11">
        <v>6.0220000000000002</v>
      </c>
      <c r="F76" s="11">
        <v>72.578999999999994</v>
      </c>
      <c r="G76" s="10">
        <v>28848</v>
      </c>
      <c r="H76" s="10">
        <v>32441</v>
      </c>
      <c r="I76" s="11">
        <v>17.099</v>
      </c>
      <c r="J76" s="11">
        <v>82.867999999999995</v>
      </c>
      <c r="K76" s="10">
        <v>31116</v>
      </c>
      <c r="L76" s="10">
        <v>33745</v>
      </c>
      <c r="M76" s="11">
        <v>8.2750000000000004</v>
      </c>
      <c r="N76" s="11">
        <v>161.63499999999999</v>
      </c>
      <c r="O76" s="1"/>
      <c r="P76" s="1"/>
      <c r="Q76" s="1"/>
    </row>
    <row r="77" spans="1:17" s="6" customFormat="1" ht="27.95" customHeight="1" x14ac:dyDescent="0.25">
      <c r="A77" s="8">
        <v>63</v>
      </c>
      <c r="B77" s="9" t="s">
        <v>62</v>
      </c>
      <c r="C77" s="10">
        <v>93332</v>
      </c>
      <c r="D77" s="10">
        <v>114932</v>
      </c>
      <c r="E77" s="11">
        <v>3322.556</v>
      </c>
      <c r="F77" s="11">
        <v>3032.672</v>
      </c>
      <c r="G77" s="10">
        <v>84420</v>
      </c>
      <c r="H77" s="10">
        <v>97669</v>
      </c>
      <c r="I77" s="11">
        <v>3014.7689999999998</v>
      </c>
      <c r="J77" s="11">
        <v>3158.3139999999999</v>
      </c>
      <c r="K77" s="10">
        <v>90896</v>
      </c>
      <c r="L77" s="10">
        <v>104753</v>
      </c>
      <c r="M77" s="11">
        <v>3257.692</v>
      </c>
      <c r="N77" s="11">
        <v>3383.1729999999998</v>
      </c>
      <c r="O77" s="1"/>
      <c r="P77" s="1"/>
      <c r="Q77" s="1"/>
    </row>
    <row r="78" spans="1:17" s="6" customFormat="1" ht="27.95" customHeight="1" x14ac:dyDescent="0.25">
      <c r="A78" s="8">
        <v>64</v>
      </c>
      <c r="B78" s="9" t="s">
        <v>34</v>
      </c>
      <c r="C78" s="10">
        <v>45211</v>
      </c>
      <c r="D78" s="10">
        <v>52043</v>
      </c>
      <c r="E78" s="11">
        <v>433.23899999999998</v>
      </c>
      <c r="F78" s="11">
        <v>761.25</v>
      </c>
      <c r="G78" s="10">
        <v>36010</v>
      </c>
      <c r="H78" s="10">
        <v>41422</v>
      </c>
      <c r="I78" s="11">
        <v>546.77499999999998</v>
      </c>
      <c r="J78" s="11">
        <v>791.23500000000001</v>
      </c>
      <c r="K78" s="10">
        <v>34585</v>
      </c>
      <c r="L78" s="10">
        <v>39429</v>
      </c>
      <c r="M78" s="11">
        <v>561.93499999999995</v>
      </c>
      <c r="N78" s="11">
        <v>942.88300000000004</v>
      </c>
      <c r="O78" s="1"/>
      <c r="P78" s="1"/>
      <c r="Q78" s="1"/>
    </row>
    <row r="79" spans="1:17" s="6" customFormat="1" ht="27.95" customHeight="1" x14ac:dyDescent="0.25">
      <c r="A79" s="8">
        <v>65</v>
      </c>
      <c r="B79" s="9" t="s">
        <v>39</v>
      </c>
      <c r="C79" s="10">
        <v>10594</v>
      </c>
      <c r="D79" s="10">
        <v>13413</v>
      </c>
      <c r="E79" s="11">
        <v>480.68900000000002</v>
      </c>
      <c r="F79" s="11">
        <v>746.36599999999999</v>
      </c>
      <c r="G79" s="10">
        <v>9796</v>
      </c>
      <c r="H79" s="10">
        <v>12850</v>
      </c>
      <c r="I79" s="11">
        <v>583.65800000000002</v>
      </c>
      <c r="J79" s="11">
        <v>860.24400000000003</v>
      </c>
      <c r="K79" s="10">
        <v>9258</v>
      </c>
      <c r="L79" s="10">
        <v>13629</v>
      </c>
      <c r="M79" s="11">
        <v>662.90800000000002</v>
      </c>
      <c r="N79" s="11">
        <v>915.57500000000005</v>
      </c>
      <c r="O79" s="1"/>
      <c r="P79" s="1"/>
      <c r="Q79" s="1"/>
    </row>
    <row r="80" spans="1:17" s="6" customFormat="1" ht="27.95" customHeight="1" x14ac:dyDescent="0.25">
      <c r="A80" s="8">
        <v>66</v>
      </c>
      <c r="B80" s="9" t="s">
        <v>72</v>
      </c>
      <c r="C80" s="10">
        <v>30915</v>
      </c>
      <c r="D80" s="10">
        <v>32481</v>
      </c>
      <c r="E80" s="11">
        <v>117.244</v>
      </c>
      <c r="F80" s="11">
        <v>230.50177000000002</v>
      </c>
      <c r="G80" s="10">
        <v>28199</v>
      </c>
      <c r="H80" s="10">
        <v>28919</v>
      </c>
      <c r="I80" s="11">
        <v>74.257000000000005</v>
      </c>
      <c r="J80" s="11">
        <v>254.84393</v>
      </c>
      <c r="K80" s="10">
        <v>30076</v>
      </c>
      <c r="L80" s="10">
        <v>31026</v>
      </c>
      <c r="M80" s="11">
        <v>96.498999999999995</v>
      </c>
      <c r="N80" s="11">
        <v>342.70472999999998</v>
      </c>
      <c r="O80" s="1"/>
      <c r="P80" s="1"/>
      <c r="Q80" s="1"/>
    </row>
    <row r="81" spans="1:17" s="6" customFormat="1" ht="27.95" customHeight="1" x14ac:dyDescent="0.25">
      <c r="A81" s="8">
        <v>67</v>
      </c>
      <c r="B81" s="9" t="s">
        <v>43</v>
      </c>
      <c r="C81" s="10">
        <v>68016</v>
      </c>
      <c r="D81" s="10">
        <v>72415</v>
      </c>
      <c r="E81" s="11">
        <v>1986.962</v>
      </c>
      <c r="F81" s="11">
        <v>1851.422</v>
      </c>
      <c r="G81" s="10">
        <v>61235</v>
      </c>
      <c r="H81" s="10">
        <v>67082</v>
      </c>
      <c r="I81" s="11">
        <v>2003.92</v>
      </c>
      <c r="J81" s="11">
        <v>1933.944</v>
      </c>
      <c r="K81" s="10">
        <v>59900</v>
      </c>
      <c r="L81" s="10">
        <v>62765</v>
      </c>
      <c r="M81" s="11">
        <v>2429.8470000000002</v>
      </c>
      <c r="N81" s="11">
        <v>2150.0880000000002</v>
      </c>
      <c r="O81" s="1"/>
      <c r="P81" s="1"/>
      <c r="Q81" s="1"/>
    </row>
    <row r="82" spans="1:17" s="6" customFormat="1" ht="27.95" customHeight="1" x14ac:dyDescent="0.25">
      <c r="A82" s="8">
        <v>68</v>
      </c>
      <c r="B82" s="9" t="s">
        <v>73</v>
      </c>
      <c r="C82" s="10">
        <v>5227</v>
      </c>
      <c r="D82" s="10">
        <v>5571</v>
      </c>
      <c r="E82" s="11">
        <v>55.177999999999997</v>
      </c>
      <c r="F82" s="11">
        <v>5.8650000000000002</v>
      </c>
      <c r="G82" s="10">
        <v>6508</v>
      </c>
      <c r="H82" s="10">
        <v>6850</v>
      </c>
      <c r="I82" s="11">
        <v>42.106000000000002</v>
      </c>
      <c r="J82" s="11">
        <v>8.6709999999999994</v>
      </c>
      <c r="K82" s="10">
        <v>5921</v>
      </c>
      <c r="L82" s="10">
        <v>5754</v>
      </c>
      <c r="M82" s="11">
        <v>61.774000000000001</v>
      </c>
      <c r="N82" s="11">
        <v>23.587</v>
      </c>
      <c r="O82" s="1"/>
      <c r="P82" s="1"/>
      <c r="Q82" s="1"/>
    </row>
    <row r="83" spans="1:17" s="6" customFormat="1" ht="27.95" customHeight="1" x14ac:dyDescent="0.25">
      <c r="A83" s="8">
        <v>69</v>
      </c>
      <c r="B83" s="9" t="s">
        <v>22</v>
      </c>
      <c r="C83" s="10">
        <v>23269</v>
      </c>
      <c r="D83" s="10">
        <v>21751</v>
      </c>
      <c r="E83" s="11">
        <v>2358.2530000000002</v>
      </c>
      <c r="F83" s="11">
        <v>3939.9630000000002</v>
      </c>
      <c r="G83" s="10">
        <v>21069</v>
      </c>
      <c r="H83" s="10">
        <v>21931</v>
      </c>
      <c r="I83" s="11">
        <v>2415.201</v>
      </c>
      <c r="J83" s="11">
        <v>3999.904</v>
      </c>
      <c r="K83" s="10">
        <v>19683</v>
      </c>
      <c r="L83" s="10">
        <v>23029</v>
      </c>
      <c r="M83" s="11">
        <v>2796.66851</v>
      </c>
      <c r="N83" s="11">
        <v>4070.3937500000002</v>
      </c>
      <c r="O83" s="1"/>
      <c r="P83" s="1"/>
      <c r="Q83" s="1"/>
    </row>
    <row r="84" spans="1:17" s="6" customFormat="1" ht="27.95" customHeight="1" x14ac:dyDescent="0.25">
      <c r="A84" s="8">
        <v>70</v>
      </c>
      <c r="B84" s="9" t="s">
        <v>23</v>
      </c>
      <c r="C84" s="10">
        <v>13328</v>
      </c>
      <c r="D84" s="10">
        <v>12741</v>
      </c>
      <c r="E84" s="11">
        <v>57.290999999999997</v>
      </c>
      <c r="F84" s="11">
        <v>125.19499999999999</v>
      </c>
      <c r="G84" s="10">
        <v>13197</v>
      </c>
      <c r="H84" s="10">
        <v>11448</v>
      </c>
      <c r="I84" s="11">
        <v>63.408999999999999</v>
      </c>
      <c r="J84" s="11">
        <v>261.53399999999999</v>
      </c>
      <c r="K84" s="10">
        <v>10526</v>
      </c>
      <c r="L84" s="10">
        <v>13998</v>
      </c>
      <c r="M84" s="11">
        <v>84.908000000000001</v>
      </c>
      <c r="N84" s="11">
        <v>111.78400000000001</v>
      </c>
      <c r="O84" s="1"/>
      <c r="P84" s="1"/>
      <c r="Q84" s="1"/>
    </row>
    <row r="85" spans="1:17" s="6" customFormat="1" ht="27.95" customHeight="1" x14ac:dyDescent="0.25">
      <c r="A85" s="8">
        <v>71</v>
      </c>
      <c r="B85" s="9" t="s">
        <v>95</v>
      </c>
      <c r="C85" s="10">
        <v>0</v>
      </c>
      <c r="D85" s="10">
        <v>0</v>
      </c>
      <c r="E85" s="11">
        <v>1835.5909999999999</v>
      </c>
      <c r="F85" s="11">
        <v>2094.0410000000002</v>
      </c>
      <c r="G85" s="10">
        <v>0</v>
      </c>
      <c r="H85" s="10">
        <v>0</v>
      </c>
      <c r="I85" s="11">
        <v>1672.125</v>
      </c>
      <c r="J85" s="11">
        <v>1859.375</v>
      </c>
      <c r="K85" s="10">
        <v>0</v>
      </c>
      <c r="L85" s="10">
        <v>0</v>
      </c>
      <c r="M85" s="11">
        <v>2209.3330000000001</v>
      </c>
      <c r="N85" s="11">
        <v>2360.511</v>
      </c>
      <c r="O85" s="1"/>
      <c r="P85" s="1"/>
      <c r="Q85" s="1"/>
    </row>
    <row r="86" spans="1:17" s="6" customFormat="1" ht="27.95" customHeight="1" x14ac:dyDescent="0.25">
      <c r="A86" s="8">
        <v>72</v>
      </c>
      <c r="B86" s="9" t="s">
        <v>63</v>
      </c>
      <c r="C86" s="10">
        <v>5418</v>
      </c>
      <c r="D86" s="10">
        <v>6430</v>
      </c>
      <c r="E86" s="11">
        <v>0</v>
      </c>
      <c r="F86" s="11">
        <v>0.437</v>
      </c>
      <c r="G86" s="10">
        <v>5690</v>
      </c>
      <c r="H86" s="10">
        <v>6021</v>
      </c>
      <c r="I86" s="11">
        <v>0</v>
      </c>
      <c r="J86" s="11">
        <v>0.57699999999999996</v>
      </c>
      <c r="K86" s="10">
        <v>5335</v>
      </c>
      <c r="L86" s="10">
        <v>6056</v>
      </c>
      <c r="M86" s="11">
        <v>0</v>
      </c>
      <c r="N86" s="11">
        <v>0.51300000000000001</v>
      </c>
      <c r="O86" s="1"/>
      <c r="P86" s="1"/>
      <c r="Q86" s="1"/>
    </row>
    <row r="87" spans="1:17" s="6" customFormat="1" ht="27.95" customHeight="1" x14ac:dyDescent="0.25">
      <c r="A87" s="8">
        <v>73</v>
      </c>
      <c r="B87" s="9" t="s">
        <v>88</v>
      </c>
      <c r="C87" s="10">
        <v>3929</v>
      </c>
      <c r="D87" s="10">
        <v>4372</v>
      </c>
      <c r="E87" s="11">
        <v>20.035</v>
      </c>
      <c r="F87" s="11">
        <v>222.154</v>
      </c>
      <c r="G87" s="10">
        <v>4831</v>
      </c>
      <c r="H87" s="10">
        <v>4758</v>
      </c>
      <c r="I87" s="11">
        <v>27.916</v>
      </c>
      <c r="J87" s="11">
        <v>220.37700000000001</v>
      </c>
      <c r="K87" s="10">
        <v>4237</v>
      </c>
      <c r="L87" s="10">
        <v>6055</v>
      </c>
      <c r="M87" s="11">
        <v>39.944000000000003</v>
      </c>
      <c r="N87" s="11">
        <v>274.10899999999998</v>
      </c>
      <c r="O87" s="1"/>
      <c r="P87" s="1"/>
      <c r="Q87" s="1"/>
    </row>
    <row r="88" spans="1:17" s="6" customFormat="1" ht="27.95" customHeight="1" x14ac:dyDescent="0.25">
      <c r="A88" s="8">
        <v>74</v>
      </c>
      <c r="B88" s="9" t="s">
        <v>74</v>
      </c>
      <c r="C88" s="10">
        <v>13110</v>
      </c>
      <c r="D88" s="10">
        <v>14272</v>
      </c>
      <c r="E88" s="11">
        <v>272.286</v>
      </c>
      <c r="F88" s="11">
        <v>207.506</v>
      </c>
      <c r="G88" s="10">
        <v>13183</v>
      </c>
      <c r="H88" s="10">
        <v>15700</v>
      </c>
      <c r="I88" s="11">
        <v>264.08949999999999</v>
      </c>
      <c r="J88" s="11">
        <v>173.70400000000001</v>
      </c>
      <c r="K88" s="10">
        <v>14016</v>
      </c>
      <c r="L88" s="10">
        <v>15846</v>
      </c>
      <c r="M88" s="11">
        <v>381.47449999999998</v>
      </c>
      <c r="N88" s="11">
        <v>390.21560000000005</v>
      </c>
      <c r="O88" s="1"/>
      <c r="P88" s="1"/>
      <c r="Q88" s="1"/>
    </row>
    <row r="89" spans="1:17" s="6" customFormat="1" ht="27.95" customHeight="1" x14ac:dyDescent="0.25">
      <c r="A89" s="8">
        <v>75</v>
      </c>
      <c r="B89" s="9" t="s">
        <v>82</v>
      </c>
      <c r="C89" s="10">
        <v>4798</v>
      </c>
      <c r="D89" s="10">
        <v>4789</v>
      </c>
      <c r="E89" s="11">
        <v>34.484000000000002</v>
      </c>
      <c r="F89" s="11">
        <v>48.323</v>
      </c>
      <c r="G89" s="10">
        <v>3614</v>
      </c>
      <c r="H89" s="10">
        <v>4086</v>
      </c>
      <c r="I89" s="11">
        <v>45.669499999999999</v>
      </c>
      <c r="J89" s="11">
        <v>29.750299999999999</v>
      </c>
      <c r="K89" s="10">
        <v>5063</v>
      </c>
      <c r="L89" s="10">
        <v>5141</v>
      </c>
      <c r="M89" s="11">
        <v>50.402000000000001</v>
      </c>
      <c r="N89" s="11">
        <v>42.925599999999996</v>
      </c>
      <c r="O89" s="1"/>
      <c r="P89" s="1"/>
      <c r="Q89" s="1"/>
    </row>
    <row r="90" spans="1:17" s="6" customFormat="1" ht="27.95" customHeight="1" x14ac:dyDescent="0.25">
      <c r="A90" s="8">
        <v>76</v>
      </c>
      <c r="B90" s="9" t="s">
        <v>24</v>
      </c>
      <c r="C90" s="10">
        <v>21198</v>
      </c>
      <c r="D90" s="10">
        <v>21766</v>
      </c>
      <c r="E90" s="11">
        <v>543.82399999999996</v>
      </c>
      <c r="F90" s="11">
        <v>997.99</v>
      </c>
      <c r="G90" s="10">
        <v>26948</v>
      </c>
      <c r="H90" s="10">
        <v>27530</v>
      </c>
      <c r="I90" s="11">
        <v>835.67100000000005</v>
      </c>
      <c r="J90" s="11">
        <v>1244.222</v>
      </c>
      <c r="K90" s="10">
        <v>28726</v>
      </c>
      <c r="L90" s="10">
        <v>30182</v>
      </c>
      <c r="M90" s="11">
        <v>430.07499999999999</v>
      </c>
      <c r="N90" s="11">
        <v>6175.3879999999999</v>
      </c>
      <c r="O90" s="1"/>
      <c r="P90" s="1"/>
      <c r="Q90" s="1"/>
    </row>
    <row r="91" spans="1:17" s="6" customFormat="1" ht="27.95" customHeight="1" x14ac:dyDescent="0.25">
      <c r="A91" s="8">
        <v>77</v>
      </c>
      <c r="B91" s="9" t="s">
        <v>25</v>
      </c>
      <c r="C91" s="10">
        <v>1107</v>
      </c>
      <c r="D91" s="10">
        <v>794</v>
      </c>
      <c r="E91" s="11">
        <v>0</v>
      </c>
      <c r="F91" s="11">
        <v>18.7182</v>
      </c>
      <c r="G91" s="10">
        <v>371</v>
      </c>
      <c r="H91" s="10">
        <v>805</v>
      </c>
      <c r="I91" s="11">
        <v>0.215</v>
      </c>
      <c r="J91" s="11">
        <v>8.5948999999999991</v>
      </c>
      <c r="K91" s="10">
        <v>98</v>
      </c>
      <c r="L91" s="10">
        <v>707</v>
      </c>
      <c r="M91" s="11">
        <v>0</v>
      </c>
      <c r="N91" s="11">
        <v>4.2811400000000006</v>
      </c>
      <c r="O91" s="1"/>
      <c r="P91" s="1"/>
      <c r="Q91" s="1"/>
    </row>
    <row r="92" spans="1:17" ht="27.75" customHeight="1" x14ac:dyDescent="0.25">
      <c r="A92" s="32" t="s">
        <v>26</v>
      </c>
      <c r="B92" s="32"/>
      <c r="C92" s="16">
        <f t="shared" ref="C92:N92" si="1">SUM(C15:C91)</f>
        <v>1674652</v>
      </c>
      <c r="D92" s="16">
        <f t="shared" si="1"/>
        <v>1832633</v>
      </c>
      <c r="E92" s="17">
        <f t="shared" si="1"/>
        <v>45200.256847999997</v>
      </c>
      <c r="F92" s="17">
        <f t="shared" si="1"/>
        <v>71893.173449000009</v>
      </c>
      <c r="G92" s="16">
        <f t="shared" si="1"/>
        <v>1499480</v>
      </c>
      <c r="H92" s="16">
        <f t="shared" si="1"/>
        <v>1680419</v>
      </c>
      <c r="I92" s="17">
        <f t="shared" si="1"/>
        <v>48876.811710000002</v>
      </c>
      <c r="J92" s="17">
        <f t="shared" si="1"/>
        <v>76502.941800999994</v>
      </c>
      <c r="K92" s="16">
        <f t="shared" si="1"/>
        <v>1513542</v>
      </c>
      <c r="L92" s="16">
        <f t="shared" si="1"/>
        <v>1718349</v>
      </c>
      <c r="M92" s="17">
        <f t="shared" si="1"/>
        <v>53030.558562000013</v>
      </c>
      <c r="N92" s="17">
        <f t="shared" si="1"/>
        <v>86264.066584000015</v>
      </c>
    </row>
    <row r="93" spans="1:17" ht="41.25" customHeight="1" x14ac:dyDescent="0.25">
      <c r="A93" s="33" t="s">
        <v>27</v>
      </c>
      <c r="B93" s="33"/>
      <c r="C93" s="18">
        <f t="shared" ref="C93:N93" si="2">C13+C92</f>
        <v>2994177</v>
      </c>
      <c r="D93" s="18">
        <f t="shared" si="2"/>
        <v>3242951</v>
      </c>
      <c r="E93" s="19">
        <f t="shared" si="2"/>
        <v>50224.464108</v>
      </c>
      <c r="F93" s="19">
        <f t="shared" si="2"/>
        <v>84317.056219000006</v>
      </c>
      <c r="G93" s="18">
        <f t="shared" si="2"/>
        <v>2726989</v>
      </c>
      <c r="H93" s="18">
        <f t="shared" si="2"/>
        <v>2997416</v>
      </c>
      <c r="I93" s="19">
        <f t="shared" si="2"/>
        <v>55156.175730000003</v>
      </c>
      <c r="J93" s="19">
        <f t="shared" si="2"/>
        <v>91113.102950999993</v>
      </c>
      <c r="K93" s="18">
        <f t="shared" si="2"/>
        <v>2789652</v>
      </c>
      <c r="L93" s="18">
        <f t="shared" si="2"/>
        <v>3118046</v>
      </c>
      <c r="M93" s="19">
        <f t="shared" si="2"/>
        <v>59985.183462000015</v>
      </c>
      <c r="N93" s="19">
        <f t="shared" si="2"/>
        <v>101511.84923400002</v>
      </c>
    </row>
    <row r="94" spans="1:17" s="6" customFormat="1" ht="30.75" customHeight="1" x14ac:dyDescent="0.3">
      <c r="A94" s="26" t="s">
        <v>83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8"/>
    </row>
    <row r="95" spans="1:17" s="6" customFormat="1" ht="21" customHeight="1" x14ac:dyDescent="0.3">
      <c r="A95" s="25" t="s">
        <v>33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spans="1:17" ht="18.75" customHeight="1" x14ac:dyDescent="0.25"/>
    <row r="97" ht="18.75" customHeight="1" x14ac:dyDescent="0.25"/>
    <row r="98" ht="18.75" customHeight="1" x14ac:dyDescent="0.25"/>
  </sheetData>
  <mergeCells count="14">
    <mergeCell ref="A95:N95"/>
    <mergeCell ref="A94:N94"/>
    <mergeCell ref="A5:N5"/>
    <mergeCell ref="A13:B13"/>
    <mergeCell ref="A14:N14"/>
    <mergeCell ref="A92:B92"/>
    <mergeCell ref="A93:B93"/>
    <mergeCell ref="A1:N1"/>
    <mergeCell ref="A2:N2"/>
    <mergeCell ref="A3:A4"/>
    <mergeCell ref="B3:B4"/>
    <mergeCell ref="C3:F3"/>
    <mergeCell ref="G3:J3"/>
    <mergeCell ref="K3:N3"/>
  </mergeCells>
  <printOptions horizontalCentered="1"/>
  <pageMargins left="0" right="0" top="3.937007874015748E-2" bottom="3.937007874015748E-2" header="0.31496062992125984" footer="0.31496062992125984"/>
  <pageSetup scale="46" fitToHeight="2" orientation="landscape" r:id="rId1"/>
  <headerFooter>
    <oddFooter>Page &amp;P of &amp;N</oddFooter>
  </headerFooter>
  <rowBreaks count="2" manualBreakCount="2">
    <brk id="42" max="13" man="1"/>
    <brk id="7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2024-05-14T10:31:15Z</dcterms:modified>
</cp:coreProperties>
</file>