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MONTHWISE!$A$1:$N$72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N13" i="2" l="1"/>
  <c r="M13" i="2"/>
  <c r="L13" i="2"/>
  <c r="K13" i="2"/>
  <c r="J13" i="2"/>
  <c r="I13" i="2"/>
  <c r="H13" i="2"/>
  <c r="F13" i="2"/>
  <c r="E13" i="2"/>
  <c r="D13" i="2"/>
  <c r="C13" i="2"/>
  <c r="G13" i="2"/>
  <c r="D68" i="2" l="1"/>
  <c r="D69" i="2" s="1"/>
  <c r="E68" i="2"/>
  <c r="E69" i="2" s="1"/>
  <c r="F68" i="2"/>
  <c r="F69" i="2" s="1"/>
  <c r="G68" i="2"/>
  <c r="G69" i="2" s="1"/>
  <c r="H68" i="2"/>
  <c r="H69" i="2" s="1"/>
  <c r="I68" i="2"/>
  <c r="I69" i="2" s="1"/>
  <c r="J68" i="2"/>
  <c r="J69" i="2" s="1"/>
  <c r="K68" i="2"/>
  <c r="K69" i="2" s="1"/>
  <c r="L68" i="2"/>
  <c r="L69" i="2" s="1"/>
  <c r="M68" i="2"/>
  <c r="M69" i="2" s="1"/>
  <c r="N68" i="2"/>
  <c r="N69" i="2" s="1"/>
  <c r="C68" i="2"/>
  <c r="C69" i="2" l="1"/>
</calcChain>
</file>

<file path=xl/sharedStrings.xml><?xml version="1.0" encoding="utf-8"?>
<sst xmlns="http://schemas.openxmlformats.org/spreadsheetml/2006/main" count="87" uniqueCount="79">
  <si>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</si>
  <si>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</si>
  <si>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</si>
  <si>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</si>
  <si>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</si>
  <si>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</si>
  <si>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</si>
  <si>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</si>
  <si>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ARIANA AFGHAN</t>
  </si>
  <si>
    <t>BIMAN BANGLADESH</t>
  </si>
  <si>
    <t>CATHAY PACIFIC</t>
  </si>
  <si>
    <t>CHINA AIRLINES LTD</t>
  </si>
  <si>
    <t>CHINA EASTERN AIRLINES</t>
  </si>
  <si>
    <t>DRAGON AIR</t>
  </si>
  <si>
    <t>DRUK AIR</t>
  </si>
  <si>
    <t>EL-AL-ISRAEL</t>
  </si>
  <si>
    <t>ETIHAD AIRLINES</t>
  </si>
  <si>
    <t>FEDERAL EXPRESS</t>
  </si>
  <si>
    <t>IRAN AIR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</si>
  <si>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</si>
  <si>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</si>
  <si>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</si>
  <si>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</si>
  <si>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</si>
  <si>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</si>
  <si>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</si>
  <si>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</si>
  <si>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</si>
  <si>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</si>
  <si>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SAUDIA</t>
  </si>
  <si>
    <t>SILK AIR</t>
  </si>
  <si>
    <t>SINGAPORE AIRLINES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</si>
  <si>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</si>
  <si>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</si>
  <si>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</si>
  <si>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</si>
  <si>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</si>
  <si>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</si>
  <si>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</si>
  <si>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</si>
  <si>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</si>
  <si>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</si>
  <si>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</si>
  <si>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</si>
  <si>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AIR ASIA X</t>
  </si>
  <si>
    <t>P-Provisional</t>
  </si>
  <si>
    <t>SRILANKAN AIRWAYS</t>
  </si>
  <si>
    <t>Note: 1. This table does not include the passengers and freight carried by domestic carriers entirely outside the Indian territory.</t>
  </si>
  <si>
    <t>SCOOT TIGER AIR</t>
  </si>
  <si>
    <t>FLYNAS</t>
  </si>
  <si>
    <t>SL. No.</t>
  </si>
  <si>
    <t xml:space="preserve">CHINA SOUTHERN </t>
  </si>
  <si>
    <t>EMIRATES AIRLINE</t>
  </si>
  <si>
    <t>ETHIOPIAN AIRLINES</t>
  </si>
  <si>
    <t>GULF AIR</t>
  </si>
  <si>
    <t>SWISS AIR</t>
  </si>
  <si>
    <t>VISTARA AIRLINES</t>
  </si>
  <si>
    <t>AIR ASTANA</t>
  </si>
  <si>
    <t>AIR CANADA</t>
  </si>
  <si>
    <t>AIR FRANCE</t>
  </si>
  <si>
    <t>BRITISH AIRWAYS</t>
  </si>
  <si>
    <t>KAM AIR</t>
  </si>
  <si>
    <t>KLM AIRLINES</t>
  </si>
  <si>
    <t>RWANDAIR</t>
  </si>
  <si>
    <t>TURKMENISTAN AIRLINES</t>
  </si>
  <si>
    <t>US BANGLA AIRLINES</t>
  </si>
  <si>
    <t>AIR SEYCHELLES</t>
  </si>
  <si>
    <t>THAI AIRWAYS</t>
  </si>
  <si>
    <t>AIR ASIA BERHAD</t>
  </si>
  <si>
    <t>JULY</t>
  </si>
  <si>
    <t>AUGUST</t>
  </si>
  <si>
    <t>SEPTEMBER</t>
  </si>
  <si>
    <t>AIR INDIA EXPRESS</t>
  </si>
  <si>
    <t>BLUE DART AVIATION</t>
  </si>
  <si>
    <t>GO AIR</t>
  </si>
  <si>
    <t>INDIGO</t>
  </si>
  <si>
    <t>SPICEJET</t>
  </si>
  <si>
    <t>TABLE 2. AIRLINEWISE MONTHLY INTERNATIONAL TRAFFIC STATISTICS FOR THE QUARTER JULY-SEPTEMBER 2020 (P)</t>
  </si>
  <si>
    <t>Note: 2. In wake of Covid-19 all Scheduled International operations carried by Indian carriers have been suspended as per DGCA's Circular dated 26-03-2020.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</si>
</sst>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164" fontId="9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164" fontId="9" fillId="0" borderId="1" xfId="0" applyNumberFormat="1" applyFont="1" applyFill="1" applyBorder="1" applyAlignment="1">
      <alignment vertical="top"/>
    </xf>
    <xf numFmtId="0" fontId="9" fillId="0" borderId="1" xfId="0" applyFont="1" applyFill="1" applyBorder="1" applyAlignment="1">
      <alignment vertical="top"/>
    </xf>
    <xf numFmtId="0" fontId="8" fillId="0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topLeftCell="A53" zoomScale="70" zoomScaleNormal="55" zoomScaleSheetLayoutView="70" workbookViewId="0">
      <selection activeCell="K69" sqref="K69:L69"/>
    </sheetView>
  </sheetViews>
  <sheetFormatPr defaultRowHeight="15" x14ac:dyDescent="0.25"/>
  <cols>
    <col min="1" max="1" width="9" customWidth="1"/>
    <col min="2" max="2" width="41.5703125" style="4" customWidth="1"/>
    <col min="3" max="3" width="11.85546875" customWidth="1"/>
    <col min="4" max="4" width="13.28515625" customWidth="1"/>
    <col min="5" max="6" width="16.7109375" customWidth="1"/>
    <col min="7" max="7" width="12.28515625" customWidth="1"/>
    <col min="8" max="8" width="16.7109375" customWidth="1"/>
    <col min="9" max="9" width="13.28515625" customWidth="1"/>
    <col min="10" max="11" width="16.7109375" customWidth="1"/>
    <col min="12" max="12" width="12.5703125" customWidth="1"/>
    <col min="13" max="13" width="11.7109375" customWidth="1"/>
    <col min="14" max="14" width="13.140625" customWidth="1"/>
    <col min="15" max="25" width="12.42578125" customWidth="1"/>
  </cols>
  <sheetData>
    <row r="1" spans="1:14" ht="40.5" customHeight="1" x14ac:dyDescent="0.25">
      <c r="A1" s="35" t="s">
        <v>77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s="1" customFormat="1" ht="25.5" customHeight="1" x14ac:dyDescent="0.25">
      <c r="A2" s="36" t="s">
        <v>39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21" customHeight="1" x14ac:dyDescent="0.25">
      <c r="A3" s="37" t="s">
        <v>50</v>
      </c>
      <c r="B3" s="38" t="s">
        <v>0</v>
      </c>
      <c r="C3" s="37" t="s">
        <v>69</v>
      </c>
      <c r="D3" s="37"/>
      <c r="E3" s="37"/>
      <c r="F3" s="37"/>
      <c r="G3" s="37" t="s">
        <v>70</v>
      </c>
      <c r="H3" s="37"/>
      <c r="I3" s="37"/>
      <c r="J3" s="37"/>
      <c r="K3" s="37" t="s">
        <v>71</v>
      </c>
      <c r="L3" s="37"/>
      <c r="M3" s="37"/>
      <c r="N3" s="37"/>
    </row>
    <row r="4" spans="1:14" ht="42" customHeight="1" x14ac:dyDescent="0.25">
      <c r="A4" s="37"/>
      <c r="B4" s="38"/>
      <c r="C4" s="2" t="s">
        <v>40</v>
      </c>
      <c r="D4" s="2" t="s">
        <v>41</v>
      </c>
      <c r="E4" s="2" t="s">
        <v>42</v>
      </c>
      <c r="F4" s="2" t="s">
        <v>43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40</v>
      </c>
      <c r="L4" s="2" t="s">
        <v>41</v>
      </c>
      <c r="M4" s="2" t="s">
        <v>42</v>
      </c>
      <c r="N4" s="2" t="s">
        <v>43</v>
      </c>
    </row>
    <row r="5" spans="1:14" ht="27" customHeight="1" x14ac:dyDescent="0.25">
      <c r="A5" s="29" t="s">
        <v>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s="21" customFormat="1" ht="19.5" customHeight="1" x14ac:dyDescent="0.3">
      <c r="A6" s="20">
        <v>1</v>
      </c>
      <c r="B6" s="24" t="s">
        <v>2</v>
      </c>
      <c r="C6" s="22">
        <v>61290</v>
      </c>
      <c r="D6" s="22">
        <v>38442</v>
      </c>
      <c r="E6" s="23">
        <v>778.09180000000015</v>
      </c>
      <c r="F6" s="23">
        <v>905.56019999999978</v>
      </c>
      <c r="G6" s="22">
        <v>51701</v>
      </c>
      <c r="H6" s="22">
        <v>42607</v>
      </c>
      <c r="I6" s="23">
        <v>765.70030000000008</v>
      </c>
      <c r="J6" s="23">
        <v>1009.8039999999996</v>
      </c>
      <c r="K6" s="22">
        <v>44854</v>
      </c>
      <c r="L6" s="22">
        <v>48707</v>
      </c>
      <c r="M6" s="23">
        <v>1110.1951000000004</v>
      </c>
      <c r="N6" s="23">
        <v>1640.1454000000001</v>
      </c>
    </row>
    <row r="7" spans="1:14" s="21" customFormat="1" ht="19.5" customHeight="1" x14ac:dyDescent="0.3">
      <c r="A7" s="20">
        <v>2</v>
      </c>
      <c r="B7" s="24" t="s">
        <v>72</v>
      </c>
      <c r="C7" s="22">
        <v>55180</v>
      </c>
      <c r="D7" s="22">
        <v>15602</v>
      </c>
      <c r="E7" s="23">
        <v>30.39</v>
      </c>
      <c r="F7" s="23">
        <v>901.98199999999997</v>
      </c>
      <c r="G7" s="22">
        <v>73596</v>
      </c>
      <c r="H7" s="22">
        <v>34618</v>
      </c>
      <c r="I7" s="23">
        <v>28.524999999999999</v>
      </c>
      <c r="J7" s="23">
        <v>1122.3130000000001</v>
      </c>
      <c r="K7" s="22">
        <v>69353</v>
      </c>
      <c r="L7" s="22">
        <v>37066</v>
      </c>
      <c r="M7" s="23">
        <v>32.4</v>
      </c>
      <c r="N7" s="23">
        <v>1029.7470000000001</v>
      </c>
    </row>
    <row r="8" spans="1:14" s="21" customFormat="1" ht="19.5" customHeight="1" x14ac:dyDescent="0.3">
      <c r="A8" s="20">
        <v>3</v>
      </c>
      <c r="B8" s="24" t="s">
        <v>73</v>
      </c>
      <c r="C8" s="22">
        <v>0</v>
      </c>
      <c r="D8" s="22">
        <v>0</v>
      </c>
      <c r="E8" s="23">
        <v>107.155</v>
      </c>
      <c r="F8" s="23">
        <v>6.7370000000000001</v>
      </c>
      <c r="G8" s="22">
        <v>0</v>
      </c>
      <c r="H8" s="22"/>
      <c r="I8" s="23">
        <v>26.39</v>
      </c>
      <c r="J8" s="23">
        <v>0.36099999999999999</v>
      </c>
      <c r="K8" s="22"/>
      <c r="L8" s="22"/>
      <c r="M8" s="23">
        <v>0</v>
      </c>
      <c r="N8" s="23">
        <v>0</v>
      </c>
    </row>
    <row r="9" spans="1:14" s="21" customFormat="1" ht="19.5" customHeight="1" x14ac:dyDescent="0.3">
      <c r="A9" s="20">
        <v>4</v>
      </c>
      <c r="B9" s="24" t="s">
        <v>74</v>
      </c>
      <c r="C9" s="22">
        <v>32339</v>
      </c>
      <c r="D9" s="22">
        <v>0</v>
      </c>
      <c r="E9" s="23">
        <v>0</v>
      </c>
      <c r="F9" s="23">
        <v>0</v>
      </c>
      <c r="G9" s="22">
        <v>23968</v>
      </c>
      <c r="H9" s="22">
        <v>12</v>
      </c>
      <c r="I9" s="23">
        <v>0</v>
      </c>
      <c r="J9" s="23">
        <v>16.174499999999998</v>
      </c>
      <c r="K9" s="22">
        <v>14984</v>
      </c>
      <c r="L9" s="22">
        <v>4712</v>
      </c>
      <c r="M9" s="23">
        <v>0</v>
      </c>
      <c r="N9" s="23">
        <v>13.121</v>
      </c>
    </row>
    <row r="10" spans="1:14" s="21" customFormat="1" ht="19.5" customHeight="1" x14ac:dyDescent="0.3">
      <c r="A10" s="20">
        <v>5</v>
      </c>
      <c r="B10" s="24" t="s">
        <v>75</v>
      </c>
      <c r="C10" s="22">
        <v>65846</v>
      </c>
      <c r="D10" s="22">
        <v>7032</v>
      </c>
      <c r="E10" s="23">
        <v>6.7110000000000003</v>
      </c>
      <c r="F10" s="23">
        <v>35.481000000000002</v>
      </c>
      <c r="G10" s="22">
        <v>46929</v>
      </c>
      <c r="H10" s="22">
        <v>17833</v>
      </c>
      <c r="I10" s="23">
        <v>25.95</v>
      </c>
      <c r="J10" s="23">
        <v>275.17570999999998</v>
      </c>
      <c r="K10" s="22">
        <v>59956</v>
      </c>
      <c r="L10" s="22">
        <v>37650</v>
      </c>
      <c r="M10" s="23">
        <v>18.416</v>
      </c>
      <c r="N10" s="23">
        <v>468.154</v>
      </c>
    </row>
    <row r="11" spans="1:14" s="21" customFormat="1" ht="19.5" customHeight="1" x14ac:dyDescent="0.3">
      <c r="A11" s="20">
        <v>6</v>
      </c>
      <c r="B11" s="24" t="s">
        <v>76</v>
      </c>
      <c r="C11" s="22">
        <v>45669</v>
      </c>
      <c r="D11" s="22">
        <v>1271</v>
      </c>
      <c r="E11" s="23">
        <v>763.78234999999995</v>
      </c>
      <c r="F11" s="23">
        <v>4040.8593500000011</v>
      </c>
      <c r="G11" s="22">
        <v>20676</v>
      </c>
      <c r="H11" s="22">
        <v>6563</v>
      </c>
      <c r="I11" s="23">
        <v>1160.53523</v>
      </c>
      <c r="J11" s="23">
        <v>3289.4959999999996</v>
      </c>
      <c r="K11" s="22">
        <v>24531</v>
      </c>
      <c r="L11" s="22">
        <v>18344</v>
      </c>
      <c r="M11" s="23">
        <v>2132.3090299999999</v>
      </c>
      <c r="N11" s="23">
        <v>2857.6949199999995</v>
      </c>
    </row>
    <row r="12" spans="1:14" s="21" customFormat="1" ht="19.5" customHeight="1" x14ac:dyDescent="0.3">
      <c r="A12" s="20">
        <v>7</v>
      </c>
      <c r="B12" s="24" t="s">
        <v>56</v>
      </c>
      <c r="C12" s="22">
        <v>770</v>
      </c>
      <c r="D12" s="22">
        <v>17</v>
      </c>
      <c r="E12" s="23">
        <v>0</v>
      </c>
      <c r="F12" s="23">
        <v>0</v>
      </c>
      <c r="G12" s="22">
        <v>2158</v>
      </c>
      <c r="H12" s="22">
        <v>2842</v>
      </c>
      <c r="I12" s="23">
        <v>9.3450000000000006</v>
      </c>
      <c r="J12" s="23">
        <v>46.485999999999997</v>
      </c>
      <c r="K12" s="22">
        <v>6613</v>
      </c>
      <c r="L12" s="22">
        <v>13177</v>
      </c>
      <c r="M12" s="23">
        <v>286.0745</v>
      </c>
      <c r="N12" s="23">
        <v>210.82599999999999</v>
      </c>
    </row>
    <row r="13" spans="1:14" ht="31.5" customHeight="1" x14ac:dyDescent="0.25">
      <c r="A13" s="30" t="s">
        <v>3</v>
      </c>
      <c r="B13" s="30"/>
      <c r="C13" s="5">
        <f t="shared" ref="C13:N13" si="0">SUM(C6:C12)</f>
        <v>261094</v>
      </c>
      <c r="D13" s="5">
        <f t="shared" si="0"/>
        <v>62364</v>
      </c>
      <c r="E13" s="5">
        <f t="shared" si="0"/>
        <v>1686.13015</v>
      </c>
      <c r="F13" s="5">
        <f t="shared" si="0"/>
        <v>5890.6195500000013</v>
      </c>
      <c r="G13" s="5">
        <f t="shared" si="0"/>
        <v>219028</v>
      </c>
      <c r="H13" s="5">
        <f t="shared" si="0"/>
        <v>104475</v>
      </c>
      <c r="I13" s="6">
        <f t="shared" si="0"/>
        <v>2016.4455300000002</v>
      </c>
      <c r="J13" s="6">
        <f t="shared" si="0"/>
        <v>5759.8102099999987</v>
      </c>
      <c r="K13" s="5">
        <f t="shared" si="0"/>
        <v>220291</v>
      </c>
      <c r="L13" s="5">
        <f t="shared" si="0"/>
        <v>159656</v>
      </c>
      <c r="M13" s="6">
        <f t="shared" si="0"/>
        <v>3579.3946300000002</v>
      </c>
      <c r="N13" s="6">
        <f t="shared" si="0"/>
        <v>6219.6883200000002</v>
      </c>
    </row>
    <row r="14" spans="1:14" ht="28.5" customHeight="1" x14ac:dyDescent="0.25">
      <c r="A14" s="31" t="s">
        <v>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1:14" ht="24.75" customHeight="1" x14ac:dyDescent="0.25">
      <c r="A15" s="8">
        <v>1</v>
      </c>
      <c r="B15" s="9" t="s">
        <v>5</v>
      </c>
      <c r="C15" s="10">
        <v>0</v>
      </c>
      <c r="D15" s="10">
        <v>0</v>
      </c>
      <c r="E15" s="11">
        <v>0</v>
      </c>
      <c r="F15" s="11">
        <v>0</v>
      </c>
      <c r="G15" s="10">
        <v>16</v>
      </c>
      <c r="H15" s="10">
        <v>321</v>
      </c>
      <c r="I15" s="11">
        <v>1.2869999999999999</v>
      </c>
      <c r="J15" s="11">
        <v>15.568</v>
      </c>
      <c r="K15" s="10">
        <v>0</v>
      </c>
      <c r="L15" s="10">
        <v>0</v>
      </c>
      <c r="M15" s="11">
        <v>8.4459999999999997</v>
      </c>
      <c r="N15" s="11">
        <v>107.498</v>
      </c>
    </row>
    <row r="16" spans="1:14" ht="31.5" customHeight="1" x14ac:dyDescent="0.25">
      <c r="A16" s="8">
        <v>2</v>
      </c>
      <c r="B16" s="12" t="s">
        <v>6</v>
      </c>
      <c r="C16" s="10">
        <v>0</v>
      </c>
      <c r="D16" s="10">
        <v>0</v>
      </c>
      <c r="E16" s="13">
        <v>6852.759</v>
      </c>
      <c r="F16" s="13">
        <v>7458.2529999999997</v>
      </c>
      <c r="G16" s="10">
        <v>0</v>
      </c>
      <c r="H16" s="10">
        <v>0</v>
      </c>
      <c r="I16" s="11">
        <v>7097.2030000000004</v>
      </c>
      <c r="J16" s="11">
        <v>7320.2659999999996</v>
      </c>
      <c r="K16" s="10">
        <v>0</v>
      </c>
      <c r="L16" s="10">
        <v>0</v>
      </c>
      <c r="M16" s="11">
        <v>7344.9759999999997</v>
      </c>
      <c r="N16" s="11">
        <v>7427.36</v>
      </c>
    </row>
    <row r="17" spans="1:15" ht="31.5" customHeight="1" x14ac:dyDescent="0.25">
      <c r="A17" s="8">
        <v>3</v>
      </c>
      <c r="B17" s="9" t="s">
        <v>7</v>
      </c>
      <c r="C17" s="10">
        <v>18341</v>
      </c>
      <c r="D17" s="10">
        <v>2835</v>
      </c>
      <c r="E17" s="11">
        <v>14.035</v>
      </c>
      <c r="F17" s="11">
        <v>241.79</v>
      </c>
      <c r="G17" s="10">
        <v>15911</v>
      </c>
      <c r="H17" s="10">
        <v>6604</v>
      </c>
      <c r="I17" s="11">
        <v>27.818000000000001</v>
      </c>
      <c r="J17" s="11">
        <v>293.779</v>
      </c>
      <c r="K17" s="14">
        <v>15748</v>
      </c>
      <c r="L17" s="14">
        <v>18544</v>
      </c>
      <c r="M17" s="13">
        <v>19.510000000000002</v>
      </c>
      <c r="N17" s="13">
        <v>337.49599999999998</v>
      </c>
    </row>
    <row r="18" spans="1:15" ht="31.5" customHeight="1" x14ac:dyDescent="0.25">
      <c r="A18" s="8">
        <v>4</v>
      </c>
      <c r="B18" s="9" t="s">
        <v>68</v>
      </c>
      <c r="C18" s="10">
        <v>0</v>
      </c>
      <c r="D18" s="10">
        <v>0</v>
      </c>
      <c r="E18" s="11">
        <v>0.19600000000000001</v>
      </c>
      <c r="F18" s="11">
        <v>22.815000000000001</v>
      </c>
      <c r="G18" s="10">
        <v>0</v>
      </c>
      <c r="H18" s="10">
        <v>0</v>
      </c>
      <c r="I18" s="11">
        <v>0</v>
      </c>
      <c r="J18" s="11">
        <v>23.137</v>
      </c>
      <c r="K18" s="10">
        <v>0</v>
      </c>
      <c r="L18" s="10">
        <v>0</v>
      </c>
      <c r="M18" s="11">
        <v>7.5999999999999998E-2</v>
      </c>
      <c r="N18" s="11">
        <v>15.917999999999999</v>
      </c>
      <c r="O18" s="7"/>
    </row>
    <row r="19" spans="1:15" ht="31.5" customHeight="1" x14ac:dyDescent="0.25">
      <c r="A19" s="8">
        <v>5</v>
      </c>
      <c r="B19" s="9" t="s">
        <v>44</v>
      </c>
      <c r="C19" s="10">
        <v>0</v>
      </c>
      <c r="D19" s="10">
        <v>0</v>
      </c>
      <c r="E19" s="11">
        <v>39.965000000000003</v>
      </c>
      <c r="F19" s="11">
        <v>116.081</v>
      </c>
      <c r="G19" s="10">
        <v>0</v>
      </c>
      <c r="H19" s="10">
        <v>0</v>
      </c>
      <c r="I19" s="11">
        <v>38.314</v>
      </c>
      <c r="J19" s="11">
        <v>77.263999999999996</v>
      </c>
      <c r="K19" s="10">
        <v>0</v>
      </c>
      <c r="L19" s="10">
        <v>0</v>
      </c>
      <c r="M19" s="11">
        <v>0</v>
      </c>
      <c r="N19" s="11">
        <v>0</v>
      </c>
    </row>
    <row r="20" spans="1:15" ht="31.5" customHeight="1" x14ac:dyDescent="0.25">
      <c r="A20" s="8">
        <v>6</v>
      </c>
      <c r="B20" s="9" t="s">
        <v>57</v>
      </c>
      <c r="C20" s="14">
        <v>178</v>
      </c>
      <c r="D20" s="14">
        <v>11</v>
      </c>
      <c r="E20" s="11">
        <v>0.23699999999999999</v>
      </c>
      <c r="F20" s="11">
        <v>346.40300000000002</v>
      </c>
      <c r="G20" s="10">
        <v>36</v>
      </c>
      <c r="H20" s="10">
        <v>12</v>
      </c>
      <c r="I20" s="11">
        <v>0.40799999999999997</v>
      </c>
      <c r="J20" s="11">
        <v>207.084</v>
      </c>
      <c r="K20" s="10">
        <v>0</v>
      </c>
      <c r="L20" s="10">
        <v>0</v>
      </c>
      <c r="M20" s="11">
        <v>0.19</v>
      </c>
      <c r="N20" s="11">
        <v>226.36199999999999</v>
      </c>
    </row>
    <row r="21" spans="1:15" s="3" customFormat="1" ht="27.95" customHeight="1" x14ac:dyDescent="0.25">
      <c r="A21" s="8">
        <v>7</v>
      </c>
      <c r="B21" s="15" t="s">
        <v>58</v>
      </c>
      <c r="C21" s="14">
        <v>0</v>
      </c>
      <c r="D21" s="14">
        <v>0</v>
      </c>
      <c r="E21" s="11">
        <v>0</v>
      </c>
      <c r="F21" s="11">
        <v>0</v>
      </c>
      <c r="G21" s="10">
        <v>505</v>
      </c>
      <c r="H21" s="10">
        <v>2000</v>
      </c>
      <c r="I21" s="11">
        <v>26.498000000000001</v>
      </c>
      <c r="J21" s="11">
        <v>30.8</v>
      </c>
      <c r="K21" s="10">
        <v>2072</v>
      </c>
      <c r="L21" s="10">
        <v>6072</v>
      </c>
      <c r="M21" s="11">
        <v>71.304000000000002</v>
      </c>
      <c r="N21" s="11">
        <v>96.796000000000006</v>
      </c>
    </row>
    <row r="22" spans="1:15" s="3" customFormat="1" ht="27.95" customHeight="1" x14ac:dyDescent="0.25">
      <c r="A22" s="8">
        <v>8</v>
      </c>
      <c r="B22" s="12" t="s">
        <v>59</v>
      </c>
      <c r="C22" s="10">
        <v>1155</v>
      </c>
      <c r="D22" s="10">
        <v>6889</v>
      </c>
      <c r="E22" s="11">
        <v>141.99683999999999</v>
      </c>
      <c r="F22" s="11">
        <v>310.88529999999997</v>
      </c>
      <c r="G22" s="14">
        <v>7526</v>
      </c>
      <c r="H22" s="14">
        <v>9845</v>
      </c>
      <c r="I22" s="13">
        <v>267.44409000000002</v>
      </c>
      <c r="J22" s="13">
        <v>686.48360000000002</v>
      </c>
      <c r="K22" s="14">
        <v>6973</v>
      </c>
      <c r="L22" s="14">
        <v>8451</v>
      </c>
      <c r="M22" s="13">
        <v>379.95299999999997</v>
      </c>
      <c r="N22" s="13">
        <v>906.19449999999995</v>
      </c>
    </row>
    <row r="23" spans="1:15" s="3" customFormat="1" ht="27.95" customHeight="1" x14ac:dyDescent="0.25">
      <c r="A23" s="8">
        <v>9</v>
      </c>
      <c r="B23" s="9" t="s">
        <v>66</v>
      </c>
      <c r="C23" s="10">
        <v>0</v>
      </c>
      <c r="D23" s="10">
        <v>131</v>
      </c>
      <c r="E23" s="11">
        <v>0</v>
      </c>
      <c r="F23" s="11">
        <v>13.021000000000001</v>
      </c>
      <c r="G23" s="10">
        <v>29</v>
      </c>
      <c r="H23" s="10">
        <v>30</v>
      </c>
      <c r="I23" s="11">
        <v>0</v>
      </c>
      <c r="J23" s="11">
        <v>20.196000000000002</v>
      </c>
      <c r="K23" s="10">
        <v>23</v>
      </c>
      <c r="L23" s="10">
        <v>56</v>
      </c>
      <c r="M23" s="11">
        <v>0</v>
      </c>
      <c r="N23" s="11">
        <v>13.483000000000001</v>
      </c>
    </row>
    <row r="24" spans="1:15" s="3" customFormat="1" ht="27.75" customHeight="1" x14ac:dyDescent="0.25">
      <c r="A24" s="8">
        <v>10</v>
      </c>
      <c r="B24" s="9" t="s">
        <v>8</v>
      </c>
      <c r="C24" s="10">
        <v>1</v>
      </c>
      <c r="D24" s="10">
        <v>351</v>
      </c>
      <c r="E24" s="11">
        <v>63.524999999999999</v>
      </c>
      <c r="F24" s="11">
        <v>201.19499999999999</v>
      </c>
      <c r="G24" s="10">
        <v>0</v>
      </c>
      <c r="H24" s="10">
        <v>1</v>
      </c>
      <c r="I24" s="11">
        <v>36.167000000000002</v>
      </c>
      <c r="J24" s="11">
        <v>75.989000000000004</v>
      </c>
      <c r="K24" s="10">
        <v>103</v>
      </c>
      <c r="L24" s="10">
        <v>213</v>
      </c>
      <c r="M24" s="11">
        <v>54.581000000000003</v>
      </c>
      <c r="N24" s="11">
        <v>42.503</v>
      </c>
    </row>
    <row r="25" spans="1:15" s="3" customFormat="1" ht="27.75" customHeight="1" x14ac:dyDescent="0.25">
      <c r="A25" s="8">
        <v>11</v>
      </c>
      <c r="B25" s="9" t="s">
        <v>9</v>
      </c>
      <c r="C25" s="10">
        <v>0</v>
      </c>
      <c r="D25" s="10">
        <v>0</v>
      </c>
      <c r="E25" s="11">
        <v>0</v>
      </c>
      <c r="F25" s="11">
        <v>30.678000000000001</v>
      </c>
      <c r="G25" s="10"/>
      <c r="H25" s="10"/>
      <c r="I25" s="11">
        <v>0</v>
      </c>
      <c r="J25" s="11">
        <v>0</v>
      </c>
      <c r="K25" s="10">
        <v>0</v>
      </c>
      <c r="L25" s="10">
        <v>0</v>
      </c>
      <c r="M25" s="11">
        <v>26.483000000000001</v>
      </c>
      <c r="N25" s="11">
        <v>5.08</v>
      </c>
    </row>
    <row r="26" spans="1:15" s="3" customFormat="1" ht="27.75" customHeight="1" x14ac:dyDescent="0.25">
      <c r="A26" s="8">
        <v>12</v>
      </c>
      <c r="B26" s="15" t="s">
        <v>60</v>
      </c>
      <c r="C26" s="14">
        <v>0</v>
      </c>
      <c r="D26" s="14">
        <v>0</v>
      </c>
      <c r="E26" s="11">
        <v>0</v>
      </c>
      <c r="F26" s="11">
        <v>0</v>
      </c>
      <c r="G26" s="10">
        <v>1610</v>
      </c>
      <c r="H26" s="10">
        <v>4001</v>
      </c>
      <c r="I26" s="11">
        <v>190.08</v>
      </c>
      <c r="J26" s="11">
        <v>945.74</v>
      </c>
      <c r="K26" s="10">
        <v>4207</v>
      </c>
      <c r="L26" s="10">
        <v>8509</v>
      </c>
      <c r="M26" s="11">
        <v>722.92</v>
      </c>
      <c r="N26" s="11">
        <v>2444.67</v>
      </c>
    </row>
    <row r="27" spans="1:15" s="3" customFormat="1" ht="27.75" customHeight="1" x14ac:dyDescent="0.25">
      <c r="A27" s="8">
        <v>13</v>
      </c>
      <c r="B27" s="9" t="s">
        <v>10</v>
      </c>
      <c r="C27" s="10">
        <v>0</v>
      </c>
      <c r="D27" s="10">
        <v>0</v>
      </c>
      <c r="E27" s="11">
        <v>5601.7610999999988</v>
      </c>
      <c r="F27" s="11">
        <v>3561.6585</v>
      </c>
      <c r="G27" s="10">
        <v>0</v>
      </c>
      <c r="H27" s="10">
        <v>0</v>
      </c>
      <c r="I27" s="11">
        <v>6414.1810000000005</v>
      </c>
      <c r="J27" s="11">
        <v>3815.1944000000003</v>
      </c>
      <c r="K27" s="10">
        <v>0</v>
      </c>
      <c r="L27" s="10">
        <v>0</v>
      </c>
      <c r="M27" s="11">
        <v>6916.1667000000007</v>
      </c>
      <c r="N27" s="11">
        <v>4683.3155299999999</v>
      </c>
    </row>
    <row r="28" spans="1:15" s="3" customFormat="1" ht="27.75" customHeight="1" x14ac:dyDescent="0.25">
      <c r="A28" s="8">
        <v>14</v>
      </c>
      <c r="B28" s="9" t="s">
        <v>11</v>
      </c>
      <c r="C28" s="10">
        <v>0</v>
      </c>
      <c r="D28" s="10">
        <v>0</v>
      </c>
      <c r="E28" s="11">
        <v>0</v>
      </c>
      <c r="F28" s="11">
        <v>0</v>
      </c>
      <c r="G28" s="10">
        <v>0</v>
      </c>
      <c r="H28" s="10">
        <v>0</v>
      </c>
      <c r="I28" s="11">
        <v>252.16399999999999</v>
      </c>
      <c r="J28" s="11">
        <v>290.96600000000001</v>
      </c>
      <c r="K28" s="10">
        <v>0</v>
      </c>
      <c r="L28" s="10">
        <v>0</v>
      </c>
      <c r="M28" s="11">
        <v>317.70299999999997</v>
      </c>
      <c r="N28" s="11">
        <v>312.46899999999999</v>
      </c>
    </row>
    <row r="29" spans="1:15" s="3" customFormat="1" ht="27.75" customHeight="1" x14ac:dyDescent="0.25">
      <c r="A29" s="8">
        <v>15</v>
      </c>
      <c r="B29" s="9" t="s">
        <v>12</v>
      </c>
      <c r="C29" s="10">
        <v>0</v>
      </c>
      <c r="D29" s="10">
        <v>0</v>
      </c>
      <c r="E29" s="11">
        <v>8.57</v>
      </c>
      <c r="F29" s="11">
        <v>4.6527299999999991</v>
      </c>
      <c r="G29" s="10">
        <v>0</v>
      </c>
      <c r="H29" s="10">
        <v>397</v>
      </c>
      <c r="I29" s="11">
        <v>11.182</v>
      </c>
      <c r="J29" s="11">
        <v>0</v>
      </c>
      <c r="K29" s="10">
        <v>0</v>
      </c>
      <c r="L29" s="10">
        <v>0</v>
      </c>
      <c r="M29" s="11">
        <v>0</v>
      </c>
      <c r="N29" s="11">
        <v>0</v>
      </c>
    </row>
    <row r="30" spans="1:15" s="3" customFormat="1" ht="27.75" customHeight="1" x14ac:dyDescent="0.25">
      <c r="A30" s="8">
        <v>16</v>
      </c>
      <c r="B30" s="9" t="s">
        <v>51</v>
      </c>
      <c r="C30" s="10">
        <v>0</v>
      </c>
      <c r="D30" s="10">
        <v>0</v>
      </c>
      <c r="E30" s="11">
        <v>0</v>
      </c>
      <c r="F30" s="11">
        <v>0</v>
      </c>
      <c r="G30" s="10">
        <v>0</v>
      </c>
      <c r="H30" s="10">
        <v>0</v>
      </c>
      <c r="I30" s="11">
        <v>0</v>
      </c>
      <c r="J30" s="11">
        <v>0</v>
      </c>
      <c r="K30" s="10">
        <v>0</v>
      </c>
      <c r="L30" s="10">
        <v>445</v>
      </c>
      <c r="M30" s="11">
        <v>0</v>
      </c>
      <c r="N30" s="11">
        <v>0</v>
      </c>
    </row>
    <row r="31" spans="1:15" s="3" customFormat="1" ht="27.75" customHeight="1" x14ac:dyDescent="0.25">
      <c r="A31" s="8">
        <v>17</v>
      </c>
      <c r="B31" s="9" t="s">
        <v>13</v>
      </c>
      <c r="C31" s="10">
        <v>0</v>
      </c>
      <c r="D31" s="10">
        <v>0</v>
      </c>
      <c r="E31" s="11">
        <v>88.218000000000004</v>
      </c>
      <c r="F31" s="11">
        <v>130.071</v>
      </c>
      <c r="G31" s="10">
        <v>0</v>
      </c>
      <c r="H31" s="10">
        <v>0</v>
      </c>
      <c r="I31" s="11">
        <v>81.888000000000005</v>
      </c>
      <c r="J31" s="11">
        <v>95.935000000000002</v>
      </c>
      <c r="K31" s="10">
        <v>0</v>
      </c>
      <c r="L31" s="10">
        <v>0</v>
      </c>
      <c r="M31" s="11">
        <v>91.757000000000005</v>
      </c>
      <c r="N31" s="11">
        <v>145.93199999999999</v>
      </c>
    </row>
    <row r="32" spans="1:15" s="3" customFormat="1" ht="27.75" customHeight="1" x14ac:dyDescent="0.25">
      <c r="A32" s="8">
        <v>18</v>
      </c>
      <c r="B32" s="9" t="s">
        <v>14</v>
      </c>
      <c r="C32" s="10">
        <v>0</v>
      </c>
      <c r="D32" s="10">
        <v>0</v>
      </c>
      <c r="E32" s="11">
        <v>0</v>
      </c>
      <c r="F32" s="11">
        <v>0</v>
      </c>
      <c r="G32" s="10">
        <v>76</v>
      </c>
      <c r="H32" s="10">
        <v>33</v>
      </c>
      <c r="I32" s="11">
        <v>0</v>
      </c>
      <c r="J32" s="11">
        <v>4.3582999999999998</v>
      </c>
      <c r="K32" s="14">
        <v>48</v>
      </c>
      <c r="L32" s="14">
        <v>86</v>
      </c>
      <c r="M32" s="13">
        <v>4.3999999999999997E-2</v>
      </c>
      <c r="N32" s="13">
        <v>0.3861</v>
      </c>
    </row>
    <row r="33" spans="1:14" s="3" customFormat="1" ht="27.75" customHeight="1" x14ac:dyDescent="0.25">
      <c r="A33" s="8">
        <v>19</v>
      </c>
      <c r="B33" s="9" t="s">
        <v>15</v>
      </c>
      <c r="C33" s="10">
        <v>0</v>
      </c>
      <c r="D33" s="10">
        <v>0</v>
      </c>
      <c r="E33" s="11">
        <v>0</v>
      </c>
      <c r="F33" s="11">
        <v>0</v>
      </c>
      <c r="G33" s="10">
        <v>0</v>
      </c>
      <c r="H33" s="10">
        <v>0</v>
      </c>
      <c r="I33" s="11">
        <v>0</v>
      </c>
      <c r="J33" s="11">
        <v>0</v>
      </c>
      <c r="K33" s="10">
        <v>0</v>
      </c>
      <c r="L33" s="10">
        <v>0</v>
      </c>
      <c r="M33" s="11">
        <v>6.52</v>
      </c>
      <c r="N33" s="11">
        <v>18.994</v>
      </c>
    </row>
    <row r="34" spans="1:14" s="3" customFormat="1" ht="27.75" customHeight="1" x14ac:dyDescent="0.25">
      <c r="A34" s="8">
        <v>20</v>
      </c>
      <c r="B34" s="9" t="s">
        <v>52</v>
      </c>
      <c r="C34" s="10">
        <v>24835</v>
      </c>
      <c r="D34" s="10">
        <v>19478</v>
      </c>
      <c r="E34" s="11">
        <v>1266.3630000000001</v>
      </c>
      <c r="F34" s="11">
        <v>4876.7820000000002</v>
      </c>
      <c r="G34" s="14">
        <v>17866</v>
      </c>
      <c r="H34" s="14">
        <v>14915</v>
      </c>
      <c r="I34" s="11">
        <v>578.3318099999999</v>
      </c>
      <c r="J34" s="11">
        <v>2043.6023849999999</v>
      </c>
      <c r="K34" s="10">
        <v>20505</v>
      </c>
      <c r="L34" s="10">
        <v>19279</v>
      </c>
      <c r="M34" s="11">
        <v>1337.60986</v>
      </c>
      <c r="N34" s="11">
        <v>3204.7362499999995</v>
      </c>
    </row>
    <row r="35" spans="1:14" s="3" customFormat="1" ht="27.75" customHeight="1" x14ac:dyDescent="0.25">
      <c r="A35" s="8">
        <v>21</v>
      </c>
      <c r="B35" s="9" t="s">
        <v>53</v>
      </c>
      <c r="C35" s="10">
        <v>713</v>
      </c>
      <c r="D35" s="10">
        <v>683</v>
      </c>
      <c r="E35" s="11">
        <v>17.968</v>
      </c>
      <c r="F35" s="11">
        <v>126.88200000000001</v>
      </c>
      <c r="G35" s="14">
        <v>639</v>
      </c>
      <c r="H35" s="14">
        <v>1471</v>
      </c>
      <c r="I35" s="11">
        <v>12.677</v>
      </c>
      <c r="J35" s="11">
        <v>23.207000000000001</v>
      </c>
      <c r="K35" s="10">
        <v>304</v>
      </c>
      <c r="L35" s="10">
        <v>932</v>
      </c>
      <c r="M35" s="11">
        <v>18.010000000000002</v>
      </c>
      <c r="N35" s="11">
        <v>21.71</v>
      </c>
    </row>
    <row r="36" spans="1:14" s="3" customFormat="1" ht="27.75" customHeight="1" x14ac:dyDescent="0.25">
      <c r="A36" s="8">
        <v>22</v>
      </c>
      <c r="B36" s="12" t="s">
        <v>16</v>
      </c>
      <c r="C36" s="10">
        <v>1792</v>
      </c>
      <c r="D36" s="10">
        <v>1076</v>
      </c>
      <c r="E36" s="11">
        <v>994.53599999999994</v>
      </c>
      <c r="F36" s="11">
        <v>1570.42</v>
      </c>
      <c r="G36" s="10">
        <v>913</v>
      </c>
      <c r="H36" s="10">
        <v>2943</v>
      </c>
      <c r="I36" s="11">
        <v>924.08799999999997</v>
      </c>
      <c r="J36" s="11">
        <v>1608.8820000000001</v>
      </c>
      <c r="K36" s="10">
        <v>2701</v>
      </c>
      <c r="L36" s="10">
        <v>2229</v>
      </c>
      <c r="M36" s="11">
        <v>755.03719999999998</v>
      </c>
      <c r="N36" s="11">
        <v>1649.6420000000001</v>
      </c>
    </row>
    <row r="37" spans="1:14" s="3" customFormat="1" ht="27.95" customHeight="1" x14ac:dyDescent="0.25">
      <c r="A37" s="8">
        <v>23</v>
      </c>
      <c r="B37" s="9" t="s">
        <v>17</v>
      </c>
      <c r="C37" s="10">
        <v>0</v>
      </c>
      <c r="D37" s="10">
        <v>0</v>
      </c>
      <c r="E37" s="11">
        <v>2709.7260000000001</v>
      </c>
      <c r="F37" s="11">
        <v>3689.8760000000002</v>
      </c>
      <c r="G37" s="10">
        <v>243</v>
      </c>
      <c r="H37" s="10">
        <v>226</v>
      </c>
      <c r="I37" s="11">
        <v>1477.4580000000001</v>
      </c>
      <c r="J37" s="11">
        <v>3391.239</v>
      </c>
      <c r="K37" s="10">
        <v>252</v>
      </c>
      <c r="L37" s="10">
        <v>239</v>
      </c>
      <c r="M37" s="11">
        <v>1684.905</v>
      </c>
      <c r="N37" s="11">
        <v>3899.2689999999998</v>
      </c>
    </row>
    <row r="38" spans="1:14" s="3" customFormat="1" ht="27.95" customHeight="1" x14ac:dyDescent="0.25">
      <c r="A38" s="8">
        <v>24</v>
      </c>
      <c r="B38" s="9" t="s">
        <v>49</v>
      </c>
      <c r="C38" s="10">
        <v>4720</v>
      </c>
      <c r="D38" s="10">
        <v>0</v>
      </c>
      <c r="E38" s="11">
        <v>0</v>
      </c>
      <c r="F38" s="11">
        <v>47.332999999999998</v>
      </c>
      <c r="G38" s="10">
        <v>665</v>
      </c>
      <c r="H38" s="10">
        <v>9</v>
      </c>
      <c r="I38" s="11">
        <v>0</v>
      </c>
      <c r="J38" s="11">
        <v>3.9830000000000001</v>
      </c>
      <c r="K38" s="10">
        <v>340</v>
      </c>
      <c r="L38" s="10">
        <v>0</v>
      </c>
      <c r="M38" s="11">
        <v>0</v>
      </c>
      <c r="N38" s="11">
        <v>5.4950000000000001</v>
      </c>
    </row>
    <row r="39" spans="1:14" s="3" customFormat="1" ht="27.95" customHeight="1" x14ac:dyDescent="0.25">
      <c r="A39" s="8">
        <v>25</v>
      </c>
      <c r="B39" s="15" t="s">
        <v>54</v>
      </c>
      <c r="C39" s="10">
        <v>5153</v>
      </c>
      <c r="D39" s="10">
        <v>349</v>
      </c>
      <c r="E39" s="11">
        <v>0.47599999999999998</v>
      </c>
      <c r="F39" s="11">
        <v>163.45099999999999</v>
      </c>
      <c r="G39" s="14">
        <v>1793</v>
      </c>
      <c r="H39" s="14">
        <v>946</v>
      </c>
      <c r="I39" s="11">
        <v>0.32</v>
      </c>
      <c r="J39" s="11">
        <v>65.715000000000003</v>
      </c>
      <c r="K39" s="10">
        <v>761</v>
      </c>
      <c r="L39" s="10">
        <v>1553</v>
      </c>
      <c r="M39" s="11">
        <v>0</v>
      </c>
      <c r="N39" s="11">
        <v>0</v>
      </c>
    </row>
    <row r="40" spans="1:14" s="3" customFormat="1" ht="27.95" customHeight="1" x14ac:dyDescent="0.25">
      <c r="A40" s="8">
        <v>26</v>
      </c>
      <c r="B40" s="12" t="s">
        <v>18</v>
      </c>
      <c r="C40" s="10">
        <v>53</v>
      </c>
      <c r="D40" s="10">
        <v>276</v>
      </c>
      <c r="E40" s="11">
        <v>14.409000000000001</v>
      </c>
      <c r="F40" s="11">
        <v>27.236000000000001</v>
      </c>
      <c r="G40" s="10">
        <v>15</v>
      </c>
      <c r="H40" s="10">
        <v>85</v>
      </c>
      <c r="I40" s="11">
        <v>1.85</v>
      </c>
      <c r="J40" s="11">
        <v>50.213999999999999</v>
      </c>
      <c r="K40" s="10">
        <v>21</v>
      </c>
      <c r="L40" s="10">
        <v>182</v>
      </c>
      <c r="M40" s="11">
        <v>10.93</v>
      </c>
      <c r="N40" s="11">
        <v>35.335000000000001</v>
      </c>
    </row>
    <row r="41" spans="1:14" s="3" customFormat="1" ht="27.95" customHeight="1" x14ac:dyDescent="0.25">
      <c r="A41" s="8">
        <v>27</v>
      </c>
      <c r="B41" s="9" t="s">
        <v>19</v>
      </c>
      <c r="C41" s="10">
        <v>1000</v>
      </c>
      <c r="D41" s="10">
        <v>3</v>
      </c>
      <c r="E41" s="11">
        <v>0</v>
      </c>
      <c r="F41" s="11">
        <v>0</v>
      </c>
      <c r="G41" s="10">
        <v>5717</v>
      </c>
      <c r="H41" s="10">
        <v>274</v>
      </c>
      <c r="I41" s="11">
        <v>2.8000000000000001E-2</v>
      </c>
      <c r="J41" s="11">
        <v>2.8000000000000001E-2</v>
      </c>
      <c r="K41" s="10">
        <v>585</v>
      </c>
      <c r="L41" s="10">
        <v>142</v>
      </c>
      <c r="M41" s="11">
        <v>1.7000000000000001E-2</v>
      </c>
      <c r="N41" s="11">
        <v>1.7000000000000001E-2</v>
      </c>
    </row>
    <row r="42" spans="1:14" s="3" customFormat="1" ht="27.95" customHeight="1" x14ac:dyDescent="0.25">
      <c r="A42" s="8">
        <v>28</v>
      </c>
      <c r="B42" s="9" t="s">
        <v>20</v>
      </c>
      <c r="C42" s="10">
        <v>177</v>
      </c>
      <c r="D42" s="10">
        <v>66</v>
      </c>
      <c r="E42" s="11">
        <v>0</v>
      </c>
      <c r="F42" s="11">
        <v>54.085000000000001</v>
      </c>
      <c r="G42" s="10">
        <v>97</v>
      </c>
      <c r="H42" s="10">
        <v>83</v>
      </c>
      <c r="I42" s="11">
        <v>0</v>
      </c>
      <c r="J42" s="11">
        <v>0</v>
      </c>
      <c r="K42" s="10">
        <v>104</v>
      </c>
      <c r="L42" s="10">
        <v>67</v>
      </c>
      <c r="M42" s="11">
        <v>0.23</v>
      </c>
      <c r="N42" s="11">
        <v>8.1000000000000003E-2</v>
      </c>
    </row>
    <row r="43" spans="1:14" s="3" customFormat="1" ht="27.95" customHeight="1" x14ac:dyDescent="0.25">
      <c r="A43" s="8">
        <v>29</v>
      </c>
      <c r="B43" s="9" t="s">
        <v>21</v>
      </c>
      <c r="C43" s="10">
        <v>206</v>
      </c>
      <c r="D43" s="10">
        <v>443</v>
      </c>
      <c r="E43" s="11">
        <v>174.14</v>
      </c>
      <c r="F43" s="11">
        <v>156.46</v>
      </c>
      <c r="G43" s="10">
        <v>448</v>
      </c>
      <c r="H43" s="10">
        <v>422</v>
      </c>
      <c r="I43" s="11">
        <v>153.71799999999999</v>
      </c>
      <c r="J43" s="11">
        <v>127.633</v>
      </c>
      <c r="K43" s="10">
        <v>321</v>
      </c>
      <c r="L43" s="10">
        <v>281</v>
      </c>
      <c r="M43" s="13">
        <v>231.06100000000001</v>
      </c>
      <c r="N43" s="13">
        <v>165.12700000000001</v>
      </c>
    </row>
    <row r="44" spans="1:14" s="3" customFormat="1" ht="27.95" customHeight="1" x14ac:dyDescent="0.25">
      <c r="A44" s="8">
        <v>30</v>
      </c>
      <c r="B44" s="9" t="s">
        <v>61</v>
      </c>
      <c r="C44" s="10">
        <v>78</v>
      </c>
      <c r="D44" s="10">
        <v>341</v>
      </c>
      <c r="E44" s="11">
        <v>0</v>
      </c>
      <c r="F44" s="11">
        <v>0</v>
      </c>
      <c r="G44" s="10">
        <v>476</v>
      </c>
      <c r="H44" s="10">
        <v>1056</v>
      </c>
      <c r="I44" s="11">
        <v>0</v>
      </c>
      <c r="J44" s="11">
        <v>62.372</v>
      </c>
      <c r="K44" s="10">
        <v>710</v>
      </c>
      <c r="L44" s="10">
        <v>680</v>
      </c>
      <c r="M44" s="11">
        <v>0</v>
      </c>
      <c r="N44" s="11">
        <v>11.053000000000001</v>
      </c>
    </row>
    <row r="45" spans="1:14" s="3" customFormat="1" ht="27.95" customHeight="1" x14ac:dyDescent="0.25">
      <c r="A45" s="8">
        <v>31</v>
      </c>
      <c r="B45" s="9" t="s">
        <v>22</v>
      </c>
      <c r="C45" s="10">
        <v>0</v>
      </c>
      <c r="D45" s="10">
        <v>0</v>
      </c>
      <c r="E45" s="11">
        <v>0</v>
      </c>
      <c r="F45" s="11">
        <v>0</v>
      </c>
      <c r="G45" s="10">
        <v>0</v>
      </c>
      <c r="H45" s="10">
        <v>215</v>
      </c>
      <c r="I45" s="11">
        <v>0.19900000000000001</v>
      </c>
      <c r="J45" s="11">
        <v>0</v>
      </c>
      <c r="K45" s="10">
        <v>94</v>
      </c>
      <c r="L45" s="10">
        <v>419</v>
      </c>
      <c r="M45" s="11">
        <v>0.26</v>
      </c>
      <c r="N45" s="11">
        <v>2.0110000000000001</v>
      </c>
    </row>
    <row r="46" spans="1:14" s="3" customFormat="1" ht="27.95" customHeight="1" x14ac:dyDescent="0.25">
      <c r="A46" s="8">
        <v>32</v>
      </c>
      <c r="B46" s="9" t="s">
        <v>62</v>
      </c>
      <c r="C46" s="10">
        <v>538</v>
      </c>
      <c r="D46" s="10">
        <v>8333</v>
      </c>
      <c r="E46" s="11">
        <v>388.00151</v>
      </c>
      <c r="F46" s="11">
        <v>498.22280000000001</v>
      </c>
      <c r="G46" s="10">
        <v>55</v>
      </c>
      <c r="H46" s="10">
        <v>5369</v>
      </c>
      <c r="I46" s="11">
        <v>558.30106000000001</v>
      </c>
      <c r="J46" s="11">
        <v>663.93830000000003</v>
      </c>
      <c r="K46" s="10">
        <v>43</v>
      </c>
      <c r="L46" s="10">
        <v>4682</v>
      </c>
      <c r="M46" s="11">
        <v>541.89549999999997</v>
      </c>
      <c r="N46" s="11">
        <v>700.52949999999998</v>
      </c>
    </row>
    <row r="47" spans="1:14" s="3" customFormat="1" ht="27.95" customHeight="1" x14ac:dyDescent="0.25">
      <c r="A47" s="8">
        <v>33</v>
      </c>
      <c r="B47" s="9" t="s">
        <v>23</v>
      </c>
      <c r="C47" s="10">
        <v>0</v>
      </c>
      <c r="D47" s="10">
        <v>0</v>
      </c>
      <c r="E47" s="11">
        <v>159.12799999999999</v>
      </c>
      <c r="F47" s="11">
        <v>183.167</v>
      </c>
      <c r="G47" s="10">
        <v>0</v>
      </c>
      <c r="H47" s="10">
        <v>0</v>
      </c>
      <c r="I47" s="11">
        <v>298.755</v>
      </c>
      <c r="J47" s="11">
        <v>151.23099999999999</v>
      </c>
      <c r="K47" s="10">
        <v>0</v>
      </c>
      <c r="L47" s="10">
        <v>0</v>
      </c>
      <c r="M47" s="11">
        <v>474.95800000000003</v>
      </c>
      <c r="N47" s="11">
        <v>190.685</v>
      </c>
    </row>
    <row r="48" spans="1:14" s="3" customFormat="1" ht="27.95" customHeight="1" x14ac:dyDescent="0.25">
      <c r="A48" s="8">
        <v>34</v>
      </c>
      <c r="B48" s="9" t="s">
        <v>24</v>
      </c>
      <c r="C48" s="10">
        <v>282</v>
      </c>
      <c r="D48" s="10">
        <v>9967</v>
      </c>
      <c r="E48" s="11">
        <v>2134.0410000000002</v>
      </c>
      <c r="F48" s="11">
        <v>924.13599999999997</v>
      </c>
      <c r="G48" s="10">
        <v>4327</v>
      </c>
      <c r="H48" s="10">
        <v>14122</v>
      </c>
      <c r="I48" s="11">
        <v>2435.4639999999999</v>
      </c>
      <c r="J48" s="11">
        <v>1949.1679999999999</v>
      </c>
      <c r="K48" s="10">
        <v>9158</v>
      </c>
      <c r="L48" s="10">
        <v>11962</v>
      </c>
      <c r="M48" s="11">
        <v>2533.3850000000002</v>
      </c>
      <c r="N48" s="11">
        <v>2257.6590000000001</v>
      </c>
    </row>
    <row r="49" spans="1:14" s="3" customFormat="1" ht="27.95" customHeight="1" x14ac:dyDescent="0.25">
      <c r="A49" s="8">
        <v>35</v>
      </c>
      <c r="B49" s="9" t="s">
        <v>25</v>
      </c>
      <c r="C49" s="10">
        <v>729</v>
      </c>
      <c r="D49" s="10">
        <v>187</v>
      </c>
      <c r="E49" s="11">
        <v>66.369</v>
      </c>
      <c r="F49" s="11">
        <v>104.76</v>
      </c>
      <c r="G49" s="10">
        <v>567</v>
      </c>
      <c r="H49" s="10">
        <v>137</v>
      </c>
      <c r="I49" s="11">
        <v>87.677000000000007</v>
      </c>
      <c r="J49" s="11">
        <v>103.626</v>
      </c>
      <c r="K49" s="10">
        <v>435</v>
      </c>
      <c r="L49" s="10">
        <v>205</v>
      </c>
      <c r="M49" s="11">
        <v>79.275000000000006</v>
      </c>
      <c r="N49" s="11">
        <v>45.756</v>
      </c>
    </row>
    <row r="50" spans="1:14" s="3" customFormat="1" ht="27.95" customHeight="1" x14ac:dyDescent="0.25">
      <c r="A50" s="8">
        <v>36</v>
      </c>
      <c r="B50" s="9" t="s">
        <v>26</v>
      </c>
      <c r="C50" s="10">
        <v>0</v>
      </c>
      <c r="D50" s="10">
        <v>287</v>
      </c>
      <c r="E50" s="11">
        <v>574.76700000000005</v>
      </c>
      <c r="F50" s="11">
        <v>516.22709999999995</v>
      </c>
      <c r="G50" s="10">
        <v>495</v>
      </c>
      <c r="H50" s="10">
        <v>0</v>
      </c>
      <c r="I50" s="11">
        <v>669.56399999999996</v>
      </c>
      <c r="J50" s="11">
        <v>609.15499999999997</v>
      </c>
      <c r="K50" s="10">
        <v>372</v>
      </c>
      <c r="L50" s="10">
        <v>0</v>
      </c>
      <c r="M50" s="11">
        <v>940.00469999999996</v>
      </c>
      <c r="N50" s="11">
        <v>754.78499999999997</v>
      </c>
    </row>
    <row r="51" spans="1:14" s="3" customFormat="1" ht="27.95" customHeight="1" x14ac:dyDescent="0.25">
      <c r="A51" s="8">
        <v>37</v>
      </c>
      <c r="B51" s="9" t="s">
        <v>27</v>
      </c>
      <c r="C51" s="10">
        <v>2842</v>
      </c>
      <c r="D51" s="10">
        <v>233</v>
      </c>
      <c r="E51" s="11">
        <v>6.7510000000000003</v>
      </c>
      <c r="F51" s="11">
        <v>255.73099999999999</v>
      </c>
      <c r="G51" s="10">
        <v>3151</v>
      </c>
      <c r="H51" s="10">
        <v>5158</v>
      </c>
      <c r="I51" s="11">
        <v>3.7160000000000002</v>
      </c>
      <c r="J51" s="11">
        <v>427.1481</v>
      </c>
      <c r="K51" s="10">
        <v>3022</v>
      </c>
      <c r="L51" s="10">
        <v>5157</v>
      </c>
      <c r="M51" s="11">
        <v>5.383</v>
      </c>
      <c r="N51" s="11">
        <v>295.22000000000003</v>
      </c>
    </row>
    <row r="52" spans="1:14" s="3" customFormat="1" ht="27.95" customHeight="1" x14ac:dyDescent="0.25">
      <c r="A52" s="8">
        <v>38</v>
      </c>
      <c r="B52" s="9" t="s">
        <v>28</v>
      </c>
      <c r="C52" s="10">
        <v>9954</v>
      </c>
      <c r="D52" s="10">
        <v>7899</v>
      </c>
      <c r="E52" s="11">
        <v>6403.3861099999995</v>
      </c>
      <c r="F52" s="11">
        <v>11107.86082</v>
      </c>
      <c r="G52" s="10">
        <v>4416</v>
      </c>
      <c r="H52" s="10">
        <v>5489</v>
      </c>
      <c r="I52" s="11">
        <v>7101.6055400000005</v>
      </c>
      <c r="J52" s="11">
        <v>10558.144329999999</v>
      </c>
      <c r="K52" s="10">
        <v>2299</v>
      </c>
      <c r="L52" s="10">
        <v>1484</v>
      </c>
      <c r="M52" s="11">
        <v>7269.2533200000007</v>
      </c>
      <c r="N52" s="11">
        <v>8701.1888800000015</v>
      </c>
    </row>
    <row r="53" spans="1:14" s="3" customFormat="1" ht="27.95" customHeight="1" x14ac:dyDescent="0.25">
      <c r="A53" s="8">
        <v>39</v>
      </c>
      <c r="B53" s="9" t="s">
        <v>63</v>
      </c>
      <c r="C53" s="10">
        <v>103</v>
      </c>
      <c r="D53" s="10">
        <v>79</v>
      </c>
      <c r="E53" s="11">
        <v>0</v>
      </c>
      <c r="F53" s="11">
        <v>0</v>
      </c>
      <c r="G53" s="10">
        <v>0</v>
      </c>
      <c r="H53" s="10">
        <v>0</v>
      </c>
      <c r="I53" s="11">
        <v>0</v>
      </c>
      <c r="J53" s="11">
        <v>0</v>
      </c>
      <c r="K53" s="10">
        <v>0</v>
      </c>
      <c r="L53" s="10">
        <v>0</v>
      </c>
      <c r="M53" s="11">
        <v>0</v>
      </c>
      <c r="N53" s="11">
        <v>0</v>
      </c>
    </row>
    <row r="54" spans="1:14" s="3" customFormat="1" ht="27.95" customHeight="1" x14ac:dyDescent="0.25">
      <c r="A54" s="8">
        <v>40</v>
      </c>
      <c r="B54" s="9" t="s">
        <v>29</v>
      </c>
      <c r="C54" s="10">
        <v>8105</v>
      </c>
      <c r="D54" s="10">
        <v>1060</v>
      </c>
      <c r="E54" s="11">
        <v>110.22799999999999</v>
      </c>
      <c r="F54" s="11">
        <v>760.779</v>
      </c>
      <c r="G54" s="10">
        <v>3545</v>
      </c>
      <c r="H54" s="10">
        <v>718</v>
      </c>
      <c r="I54" s="11">
        <v>57.241999999999997</v>
      </c>
      <c r="J54" s="11">
        <v>564.976</v>
      </c>
      <c r="K54" s="10">
        <v>0</v>
      </c>
      <c r="L54" s="10">
        <v>0</v>
      </c>
      <c r="M54" s="11">
        <v>0</v>
      </c>
      <c r="N54" s="11">
        <v>0</v>
      </c>
    </row>
    <row r="55" spans="1:14" s="3" customFormat="1" ht="27.95" customHeight="1" x14ac:dyDescent="0.25">
      <c r="A55" s="8">
        <v>41</v>
      </c>
      <c r="B55" s="9" t="s">
        <v>48</v>
      </c>
      <c r="C55" s="10">
        <v>0</v>
      </c>
      <c r="D55" s="10">
        <v>0</v>
      </c>
      <c r="E55" s="11">
        <v>0</v>
      </c>
      <c r="F55" s="11">
        <v>0</v>
      </c>
      <c r="G55" s="10">
        <v>171</v>
      </c>
      <c r="H55" s="10">
        <v>15</v>
      </c>
      <c r="I55" s="11">
        <v>0</v>
      </c>
      <c r="J55" s="11">
        <v>0</v>
      </c>
      <c r="K55" s="10">
        <v>1262</v>
      </c>
      <c r="L55" s="10">
        <v>0</v>
      </c>
      <c r="M55" s="11">
        <v>0</v>
      </c>
      <c r="N55" s="11">
        <v>12.302</v>
      </c>
    </row>
    <row r="56" spans="1:14" s="3" customFormat="1" ht="27.95" customHeight="1" x14ac:dyDescent="0.25">
      <c r="A56" s="8">
        <v>42</v>
      </c>
      <c r="B56" s="9" t="s">
        <v>30</v>
      </c>
      <c r="C56" s="10">
        <v>0</v>
      </c>
      <c r="D56" s="10">
        <v>0</v>
      </c>
      <c r="E56" s="11">
        <v>0</v>
      </c>
      <c r="F56" s="11">
        <v>8.4</v>
      </c>
      <c r="G56" s="10">
        <v>153</v>
      </c>
      <c r="H56" s="10">
        <v>0</v>
      </c>
      <c r="I56" s="11">
        <v>4.2000000000000003E-2</v>
      </c>
      <c r="J56" s="11">
        <v>1.232</v>
      </c>
      <c r="K56" s="10">
        <v>0</v>
      </c>
      <c r="L56" s="10">
        <v>0</v>
      </c>
      <c r="M56" s="11">
        <v>0</v>
      </c>
      <c r="N56" s="11">
        <v>0</v>
      </c>
    </row>
    <row r="57" spans="1:14" s="3" customFormat="1" ht="27.95" customHeight="1" x14ac:dyDescent="0.25">
      <c r="A57" s="8">
        <v>43</v>
      </c>
      <c r="B57" s="9" t="s">
        <v>31</v>
      </c>
      <c r="C57" s="10">
        <v>0</v>
      </c>
      <c r="D57" s="10">
        <v>0</v>
      </c>
      <c r="E57" s="11">
        <v>87.731800000000007</v>
      </c>
      <c r="F57" s="11">
        <v>80.467610000000008</v>
      </c>
      <c r="G57" s="10">
        <v>0</v>
      </c>
      <c r="H57" s="10">
        <v>225</v>
      </c>
      <c r="I57" s="11">
        <v>79.102399999999989</v>
      </c>
      <c r="J57" s="11">
        <v>86.47760000000001</v>
      </c>
      <c r="K57" s="10">
        <v>0</v>
      </c>
      <c r="L57" s="10">
        <v>0</v>
      </c>
      <c r="M57" s="11">
        <v>47.282599999999995</v>
      </c>
      <c r="N57" s="11">
        <v>64.88185</v>
      </c>
    </row>
    <row r="58" spans="1:14" s="3" customFormat="1" ht="27.95" customHeight="1" x14ac:dyDescent="0.25">
      <c r="A58" s="8">
        <v>44</v>
      </c>
      <c r="B58" s="9" t="s">
        <v>46</v>
      </c>
      <c r="C58" s="10">
        <v>4</v>
      </c>
      <c r="D58" s="10">
        <v>75</v>
      </c>
      <c r="E58" s="11">
        <v>189.06200000000001</v>
      </c>
      <c r="F58" s="11">
        <v>265.61500000000001</v>
      </c>
      <c r="G58" s="10">
        <v>813</v>
      </c>
      <c r="H58" s="10">
        <v>618</v>
      </c>
      <c r="I58" s="11">
        <v>198.86699999999999</v>
      </c>
      <c r="J58" s="11">
        <v>249.05799999999999</v>
      </c>
      <c r="K58" s="10">
        <v>268</v>
      </c>
      <c r="L58" s="10">
        <v>130</v>
      </c>
      <c r="M58" s="11">
        <v>260.12</v>
      </c>
      <c r="N58" s="11">
        <v>259.471</v>
      </c>
    </row>
    <row r="59" spans="1:14" s="3" customFormat="1" ht="27.95" customHeight="1" x14ac:dyDescent="0.25">
      <c r="A59" s="8">
        <v>45</v>
      </c>
      <c r="B59" s="9" t="s">
        <v>55</v>
      </c>
      <c r="C59" s="10">
        <v>0</v>
      </c>
      <c r="D59" s="10">
        <v>0</v>
      </c>
      <c r="E59" s="11">
        <v>214.42699999999999</v>
      </c>
      <c r="F59" s="11">
        <v>408.92599999999999</v>
      </c>
      <c r="G59" s="10">
        <v>0</v>
      </c>
      <c r="H59" s="10">
        <v>0</v>
      </c>
      <c r="I59" s="11">
        <v>187.55500000000001</v>
      </c>
      <c r="J59" s="11">
        <v>319.08</v>
      </c>
      <c r="K59" s="10">
        <v>0</v>
      </c>
      <c r="L59" s="10">
        <v>0</v>
      </c>
      <c r="M59" s="11">
        <v>181.03200000000001</v>
      </c>
      <c r="N59" s="11">
        <v>476.46100000000001</v>
      </c>
    </row>
    <row r="60" spans="1:14" s="3" customFormat="1" ht="27.95" customHeight="1" x14ac:dyDescent="0.25">
      <c r="A60" s="8">
        <v>46</v>
      </c>
      <c r="B60" s="9" t="s">
        <v>67</v>
      </c>
      <c r="C60" s="10">
        <v>0</v>
      </c>
      <c r="D60" s="10">
        <v>0</v>
      </c>
      <c r="E60" s="11">
        <v>0</v>
      </c>
      <c r="F60" s="11">
        <v>0</v>
      </c>
      <c r="G60" s="10">
        <v>0</v>
      </c>
      <c r="H60" s="10">
        <v>0</v>
      </c>
      <c r="I60" s="11">
        <v>1.0660000000000001</v>
      </c>
      <c r="J60" s="11">
        <v>24.803999999999998</v>
      </c>
      <c r="K60" s="10">
        <v>6</v>
      </c>
      <c r="L60" s="10">
        <v>214</v>
      </c>
      <c r="M60" s="11">
        <v>1.6180000000000001</v>
      </c>
      <c r="N60" s="11">
        <v>2.94</v>
      </c>
    </row>
    <row r="61" spans="1:14" s="3" customFormat="1" ht="27.95" customHeight="1" x14ac:dyDescent="0.25">
      <c r="A61" s="8">
        <v>47</v>
      </c>
      <c r="B61" s="9" t="s">
        <v>32</v>
      </c>
      <c r="C61" s="10">
        <v>139</v>
      </c>
      <c r="D61" s="10">
        <v>0</v>
      </c>
      <c r="E61" s="11">
        <v>3079.5218</v>
      </c>
      <c r="F61" s="11">
        <v>2465.7612999999997</v>
      </c>
      <c r="G61" s="10">
        <v>0</v>
      </c>
      <c r="H61" s="10">
        <v>0</v>
      </c>
      <c r="I61" s="11">
        <v>2326.4087500000001</v>
      </c>
      <c r="J61" s="11">
        <v>2666.5630799999999</v>
      </c>
      <c r="K61" s="10">
        <v>0</v>
      </c>
      <c r="L61" s="10">
        <v>0</v>
      </c>
      <c r="M61" s="11">
        <v>2767.7381599999999</v>
      </c>
      <c r="N61" s="11">
        <v>3083.2060799999999</v>
      </c>
    </row>
    <row r="62" spans="1:14" s="3" customFormat="1" ht="27.95" customHeight="1" x14ac:dyDescent="0.25">
      <c r="A62" s="8">
        <v>48</v>
      </c>
      <c r="B62" s="9" t="s">
        <v>64</v>
      </c>
      <c r="C62" s="10">
        <v>0</v>
      </c>
      <c r="D62" s="10">
        <v>0</v>
      </c>
      <c r="E62" s="11">
        <v>0</v>
      </c>
      <c r="F62" s="11">
        <v>0</v>
      </c>
      <c r="G62" s="10">
        <v>0</v>
      </c>
      <c r="H62" s="10">
        <v>129</v>
      </c>
      <c r="I62" s="11">
        <v>0</v>
      </c>
      <c r="J62" s="11">
        <v>208.37100000000001</v>
      </c>
      <c r="K62" s="10">
        <v>0</v>
      </c>
      <c r="L62" s="10">
        <v>0</v>
      </c>
      <c r="M62" s="11">
        <v>0</v>
      </c>
      <c r="N62" s="11">
        <v>0</v>
      </c>
    </row>
    <row r="63" spans="1:14" s="3" customFormat="1" ht="27.95" customHeight="1" x14ac:dyDescent="0.25">
      <c r="A63" s="8">
        <v>49</v>
      </c>
      <c r="B63" s="9" t="s">
        <v>33</v>
      </c>
      <c r="C63" s="10">
        <v>0</v>
      </c>
      <c r="D63" s="10">
        <v>0</v>
      </c>
      <c r="E63" s="11">
        <v>64.325999999999993</v>
      </c>
      <c r="F63" s="11">
        <v>314.64299999999997</v>
      </c>
      <c r="G63" s="10">
        <v>9208</v>
      </c>
      <c r="H63" s="10">
        <v>10117</v>
      </c>
      <c r="I63" s="11">
        <v>50.003</v>
      </c>
      <c r="J63" s="11">
        <v>496.721</v>
      </c>
      <c r="K63" s="10">
        <v>8378</v>
      </c>
      <c r="L63" s="10">
        <v>12040</v>
      </c>
      <c r="M63" s="11">
        <v>227.59200000000001</v>
      </c>
      <c r="N63" s="11">
        <v>935.70500000000004</v>
      </c>
    </row>
    <row r="64" spans="1:14" s="3" customFormat="1" ht="27.95" customHeight="1" x14ac:dyDescent="0.25">
      <c r="A64" s="8">
        <v>50</v>
      </c>
      <c r="B64" s="9" t="s">
        <v>65</v>
      </c>
      <c r="C64" s="10">
        <v>0</v>
      </c>
      <c r="D64" s="10">
        <v>0</v>
      </c>
      <c r="E64" s="11">
        <v>10.111000000000001</v>
      </c>
      <c r="F64" s="11">
        <v>4.6619999999999999</v>
      </c>
      <c r="G64" s="10">
        <v>0</v>
      </c>
      <c r="H64" s="10">
        <v>0</v>
      </c>
      <c r="I64" s="11">
        <v>0</v>
      </c>
      <c r="J64" s="11">
        <v>0</v>
      </c>
      <c r="K64" s="10">
        <v>0</v>
      </c>
      <c r="L64" s="10">
        <v>0</v>
      </c>
      <c r="M64" s="11">
        <v>0</v>
      </c>
      <c r="N64" s="11">
        <v>0</v>
      </c>
    </row>
    <row r="65" spans="1:14" s="3" customFormat="1" ht="27.95" customHeight="1" x14ac:dyDescent="0.25">
      <c r="A65" s="8">
        <v>51</v>
      </c>
      <c r="B65" s="9" t="s">
        <v>34</v>
      </c>
      <c r="C65" s="10">
        <v>0</v>
      </c>
      <c r="D65" s="10">
        <v>0</v>
      </c>
      <c r="E65" s="11">
        <v>0</v>
      </c>
      <c r="F65" s="11">
        <v>0</v>
      </c>
      <c r="G65" s="10">
        <v>112</v>
      </c>
      <c r="H65" s="10">
        <v>127</v>
      </c>
      <c r="I65" s="11">
        <v>1.2749999999999999</v>
      </c>
      <c r="J65" s="11">
        <v>0.76600000000000001</v>
      </c>
      <c r="K65" s="10">
        <v>35</v>
      </c>
      <c r="L65" s="10">
        <v>44</v>
      </c>
      <c r="M65" s="11">
        <v>4.0000000000000001E-3</v>
      </c>
      <c r="N65" s="11">
        <v>2.1110000000000002</v>
      </c>
    </row>
    <row r="66" spans="1:14" s="3" customFormat="1" ht="27.95" customHeight="1" x14ac:dyDescent="0.25">
      <c r="A66" s="8">
        <v>52</v>
      </c>
      <c r="B66" s="9" t="s">
        <v>35</v>
      </c>
      <c r="C66" s="10">
        <v>0</v>
      </c>
      <c r="D66" s="10">
        <v>0</v>
      </c>
      <c r="E66" s="11">
        <v>111.709</v>
      </c>
      <c r="F66" s="11">
        <v>360.46300000000002</v>
      </c>
      <c r="G66" s="10">
        <v>0</v>
      </c>
      <c r="H66" s="10">
        <v>0</v>
      </c>
      <c r="I66" s="11">
        <v>106.265</v>
      </c>
      <c r="J66" s="11">
        <v>320.46499999999997</v>
      </c>
      <c r="K66" s="10">
        <v>0</v>
      </c>
      <c r="L66" s="10">
        <v>0</v>
      </c>
      <c r="M66" s="11">
        <v>155.33000000000001</v>
      </c>
      <c r="N66" s="11">
        <v>288.22899999999998</v>
      </c>
    </row>
    <row r="67" spans="1:14" s="3" customFormat="1" ht="27.95" customHeight="1" x14ac:dyDescent="0.25">
      <c r="A67" s="8">
        <v>53</v>
      </c>
      <c r="B67" s="9" t="s">
        <v>36</v>
      </c>
      <c r="C67" s="10">
        <v>51</v>
      </c>
      <c r="D67" s="10">
        <v>2254</v>
      </c>
      <c r="E67" s="11">
        <v>0</v>
      </c>
      <c r="F67" s="11">
        <v>1.534</v>
      </c>
      <c r="G67" s="10">
        <v>0</v>
      </c>
      <c r="H67" s="10">
        <v>158</v>
      </c>
      <c r="I67" s="11">
        <v>0</v>
      </c>
      <c r="J67" s="11">
        <v>0</v>
      </c>
      <c r="K67" s="10">
        <v>0</v>
      </c>
      <c r="L67" s="10">
        <v>0</v>
      </c>
      <c r="M67" s="11">
        <v>0</v>
      </c>
      <c r="N67" s="11">
        <v>0</v>
      </c>
    </row>
    <row r="68" spans="1:14" ht="27.75" customHeight="1" x14ac:dyDescent="0.25">
      <c r="A68" s="32" t="s">
        <v>37</v>
      </c>
      <c r="B68" s="32"/>
      <c r="C68" s="16">
        <f t="shared" ref="C68:N68" si="1">SUM(C15:C67)</f>
        <v>81149</v>
      </c>
      <c r="D68" s="16">
        <f t="shared" si="1"/>
        <v>63306</v>
      </c>
      <c r="E68" s="17">
        <f t="shared" si="1"/>
        <v>31588.441159999995</v>
      </c>
      <c r="F68" s="17">
        <f t="shared" si="1"/>
        <v>41411.384159999994</v>
      </c>
      <c r="G68" s="16">
        <f t="shared" si="1"/>
        <v>81594</v>
      </c>
      <c r="H68" s="16">
        <f t="shared" si="1"/>
        <v>88271</v>
      </c>
      <c r="I68" s="17">
        <f t="shared" si="1"/>
        <v>31756.212650000001</v>
      </c>
      <c r="J68" s="17">
        <f t="shared" si="1"/>
        <v>40680.560095000001</v>
      </c>
      <c r="K68" s="16">
        <f t="shared" si="1"/>
        <v>81150</v>
      </c>
      <c r="L68" s="16">
        <f t="shared" si="1"/>
        <v>104297</v>
      </c>
      <c r="M68" s="17">
        <f t="shared" si="1"/>
        <v>35483.561039999993</v>
      </c>
      <c r="N68" s="17">
        <f t="shared" si="1"/>
        <v>43850.063689999995</v>
      </c>
    </row>
    <row r="69" spans="1:14" ht="41.25" customHeight="1" x14ac:dyDescent="0.25">
      <c r="A69" s="33" t="s">
        <v>38</v>
      </c>
      <c r="B69" s="34"/>
      <c r="C69" s="18">
        <f t="shared" ref="C69:N69" si="2">C13+C68</f>
        <v>342243</v>
      </c>
      <c r="D69" s="18">
        <f t="shared" si="2"/>
        <v>125670</v>
      </c>
      <c r="E69" s="19">
        <f t="shared" si="2"/>
        <v>33274.571309999992</v>
      </c>
      <c r="F69" s="19">
        <f t="shared" si="2"/>
        <v>47302.003709999997</v>
      </c>
      <c r="G69" s="18">
        <f t="shared" si="2"/>
        <v>300622</v>
      </c>
      <c r="H69" s="18">
        <f t="shared" si="2"/>
        <v>192746</v>
      </c>
      <c r="I69" s="19">
        <f t="shared" si="2"/>
        <v>33772.658179999999</v>
      </c>
      <c r="J69" s="19">
        <f t="shared" si="2"/>
        <v>46440.370304999997</v>
      </c>
      <c r="K69" s="18">
        <f t="shared" si="2"/>
        <v>301441</v>
      </c>
      <c r="L69" s="18">
        <f t="shared" si="2"/>
        <v>263953</v>
      </c>
      <c r="M69" s="19">
        <f t="shared" si="2"/>
        <v>39062.955669999996</v>
      </c>
      <c r="N69" s="19">
        <f t="shared" si="2"/>
        <v>50069.752009999997</v>
      </c>
    </row>
    <row r="70" spans="1:14" s="3" customFormat="1" ht="30.75" customHeight="1" x14ac:dyDescent="0.25">
      <c r="A70" s="26" t="s">
        <v>47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8"/>
    </row>
    <row r="71" spans="1:14" s="3" customFormat="1" ht="30.75" customHeight="1" x14ac:dyDescent="0.25">
      <c r="A71" s="26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8"/>
    </row>
    <row r="72" spans="1:14" s="3" customFormat="1" ht="21" customHeight="1" x14ac:dyDescent="0.25">
      <c r="A72" s="25" t="s">
        <v>45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1:14" ht="18.75" customHeight="1" x14ac:dyDescent="0.25"/>
    <row r="74" spans="1:14" ht="18.75" customHeight="1" x14ac:dyDescent="0.25"/>
    <row r="75" spans="1:14" ht="18.75" customHeight="1" x14ac:dyDescent="0.25"/>
  </sheetData>
  <mergeCells count="15">
    <mergeCell ref="A1:N1"/>
    <mergeCell ref="A2:N2"/>
    <mergeCell ref="A3:A4"/>
    <mergeCell ref="B3:B4"/>
    <mergeCell ref="C3:F3"/>
    <mergeCell ref="G3:J3"/>
    <mergeCell ref="K3:N3"/>
    <mergeCell ref="A72:N72"/>
    <mergeCell ref="A70:N70"/>
    <mergeCell ref="A5:N5"/>
    <mergeCell ref="A13:B13"/>
    <mergeCell ref="A14:N14"/>
    <mergeCell ref="A68:B68"/>
    <mergeCell ref="A69:B69"/>
    <mergeCell ref="A71:N71"/>
  </mergeCells>
  <printOptions horizontalCentered="1"/>
  <pageMargins left="0" right="0" top="3.937007874015748E-2" bottom="3.937007874015748E-2" header="0.31496062992125984" footer="0.31496062992125984"/>
  <pageSetup scale="52" fitToHeight="2" orientation="landscape" r:id="rId1"/>
  <headerFooter>
    <oddFooter>Page &amp;P of &amp;N</oddFooter>
  </headerFooter>
  <rowBreaks count="1" manualBreakCount="1">
    <brk id="3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2022-03-09T09:24:27Z</dcterms:modified>
</cp:coreProperties>
</file>