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MONTHWISE!$A$1:$N$96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K13" i="2"/>
  <c r="L13" i="2"/>
  <c r="M13" i="2"/>
  <c r="N13" i="2"/>
  <c r="D93" i="2"/>
  <c r="E93" i="2"/>
  <c r="F93" i="2"/>
  <c r="G93" i="2"/>
  <c r="H93" i="2"/>
  <c r="I93" i="2"/>
  <c r="J93" i="2"/>
  <c r="K93" i="2"/>
  <c r="L93" i="2"/>
  <c r="M93" i="2"/>
  <c r="N93" i="2"/>
  <c r="C93" i="2"/>
  <c r="D94" i="2" l="1"/>
  <c r="E94" i="2"/>
  <c r="F94" i="2"/>
  <c r="G94" i="2"/>
  <c r="H94" i="2"/>
  <c r="I94" i="2"/>
  <c r="J94" i="2"/>
  <c r="K94" i="2"/>
  <c r="L94" i="2"/>
  <c r="M94" i="2"/>
  <c r="N94" i="2"/>
  <c r="C94" i="2" l="1"/>
</calcChain>
</file>

<file path=xl/sharedStrings.xml><?xml version="1.0" encoding="utf-8"?>
<sst xmlns="http://schemas.openxmlformats.org/spreadsheetml/2006/main" count="111" uniqueCount="103">
  <si>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</si>
  <si>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</si>
  <si>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</si>
  <si>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</si>
  <si>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</si>
  <si>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</si>
  <si>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</si>
  <si>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</si>
  <si>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</si>
  <si>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</si>
  <si>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</si>
  <si>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</si>
  <si>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</si>
  <si>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</si>
  <si>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</si>
  <si>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</si>
  <si>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</si>
  <si>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</si>
  <si>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</si>
  <si>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</si>
  <si>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</si>
  <si>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</si>
  <si>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</si>
  <si>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</si>
  <si>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</si>
  <si>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</si>
  <si>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</si>
  <si>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</si>
  <si>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</si>
  <si>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</si>
  <si>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</si>
  <si>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</si>
  <si>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</si>
  <si>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</si>
  <si>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</si>
  <si>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</si>
  <si>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</si>
  <si>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</si>
  <si>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</si>
  <si>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</si>
  <si>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</si>
  <si>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VISTARA AIRLINES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</si>
  <si>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</si>
  <si>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</si>
  <si>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</si>
  <si>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</si>
  <si>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</si>
  <si>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</si>
  <si>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</si>
  <si>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</si>
  <si>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LOT POLISH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</si>
  <si>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</si>
  <si>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</si>
  <si>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</si>
  <si>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</si>
  <si>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</si>
  <si>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</si>
  <si>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</si>
  <si>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EGYPT AIR</t>
  </si>
  <si>
    <t>AIR INDIA EXPRESS</t>
  </si>
  <si>
    <t>GO AIR</t>
  </si>
  <si>
    <t>INDIGO</t>
  </si>
  <si>
    <t>SPICEJET</t>
  </si>
  <si>
    <t>AIR ASIA BERHAD</t>
  </si>
  <si>
    <t>FINN AIR</t>
  </si>
  <si>
    <t>FLYNAS</t>
  </si>
  <si>
    <t>SCOOT TIGER AIR</t>
  </si>
  <si>
    <t>SINGAPORE AIRLINES</t>
  </si>
  <si>
    <t>UNITED PARCEL SERVICES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</si>
  <si>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</si>
  <si>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</si>
  <si>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</si>
  <si>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</si>
  <si>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</si>
  <si>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</si>
  <si>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</si>
  <si>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SALAM AIR</t>
  </si>
  <si>
    <t>SAUDIA</t>
  </si>
  <si>
    <t>THAI SMILE AIRWAYS</t>
  </si>
  <si>
    <t>AIR AUSTRAL</t>
  </si>
  <si>
    <t>BRITISH AIRWAYS</t>
  </si>
  <si>
    <t>BUDDHA AIR</t>
  </si>
  <si>
    <t>THAI AIR ASIA</t>
  </si>
  <si>
    <t>THAI LION AIR</t>
  </si>
  <si>
    <t>VIETJET AIR</t>
  </si>
  <si>
    <t>AZERBAIJAN AIRLINES</t>
  </si>
  <si>
    <t>Note: This table does not include the passengers and freight carried by domestic carriers entirely outside the Indian territory.</t>
  </si>
  <si>
    <t>ALLIANCE AIR</t>
  </si>
  <si>
    <t>AERO NOMAD</t>
  </si>
  <si>
    <t>BHUTAN AIRLINES</t>
  </si>
  <si>
    <t>AIR ASTANA</t>
  </si>
  <si>
    <t>ETIHAD AIRLINES</t>
  </si>
  <si>
    <t>SCAT AIRLINES</t>
  </si>
  <si>
    <t>NEOS SPA</t>
  </si>
  <si>
    <t>TABLE 2. AIRLINEWISE MONTHLY INTERNATIONAL TRAFFIC STATISTICS (SCHEDULED) FOR THE QUARTER APRIL-JUNE 2023 (P)</t>
  </si>
  <si>
    <t>ASIANA AIRLINES</t>
  </si>
  <si>
    <t>FLY BAGHDAD</t>
  </si>
  <si>
    <t>IRAN AIR</t>
  </si>
  <si>
    <t>VIETNAM AIRLINES</t>
  </si>
  <si>
    <t>CHINA AIRLINES LTD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</si>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</sst>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Fill="1" applyBorder="1" applyAlignment="1">
      <alignment vertical="top"/>
    </xf>
    <xf numFmtId="0" fontId="8" fillId="0" borderId="1" xfId="0" applyFont="1" applyFill="1" applyBorder="1" applyAlignment="1">
      <alignment vertical="top"/>
    </xf>
    <xf numFmtId="164" fontId="10" fillId="0" borderId="0" xfId="0" applyNumberFormat="1" applyFont="1" applyFill="1" applyBorder="1" applyAlignment="1">
      <alignment vertical="top"/>
    </xf>
    <xf numFmtId="0" fontId="8" fillId="0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view="pageBreakPreview" zoomScale="70" zoomScaleNormal="55" zoomScaleSheetLayoutView="70" workbookViewId="0">
      <selection activeCell="M9" sqref="M9"/>
    </sheetView>
  </sheetViews>
  <sheetFormatPr defaultRowHeight="15" x14ac:dyDescent="0.25"/>
  <cols>
    <col min="1" max="1" width="9" style="1" customWidth="1"/>
    <col min="2" max="2" width="31.5703125" style="8" customWidth="1"/>
    <col min="3" max="3" width="14" style="1" customWidth="1"/>
    <col min="4" max="4" width="15.85546875" style="1" customWidth="1"/>
    <col min="5" max="6" width="16.7109375" style="1" customWidth="1"/>
    <col min="7" max="7" width="15.28515625" style="1" customWidth="1"/>
    <col min="8" max="8" width="16.7109375" style="1" customWidth="1"/>
    <col min="9" max="9" width="13.28515625" style="1" customWidth="1"/>
    <col min="10" max="11" width="16.7109375" style="1" customWidth="1"/>
    <col min="12" max="12" width="12.5703125" style="1" customWidth="1"/>
    <col min="13" max="13" width="12.28515625" style="1" customWidth="1"/>
    <col min="14" max="14" width="13.140625" style="1" customWidth="1"/>
    <col min="15" max="25" width="12.42578125" style="1" customWidth="1"/>
    <col min="26" max="16384" width="9.140625" style="1"/>
  </cols>
  <sheetData>
    <row r="1" spans="1:14" ht="52.5" customHeight="1" x14ac:dyDescent="0.25">
      <c r="A1" s="39" t="s">
        <v>94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s="2" customFormat="1" ht="25.5" customHeight="1" x14ac:dyDescent="0.25">
      <c r="A2" s="40" t="s">
        <v>29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1" customHeight="1" x14ac:dyDescent="0.25">
      <c r="A3" s="41" t="s">
        <v>36</v>
      </c>
      <c r="B3" s="42" t="s">
        <v>0</v>
      </c>
      <c r="C3" s="41" t="s">
        <v>100</v>
      </c>
      <c r="D3" s="41"/>
      <c r="E3" s="41"/>
      <c r="F3" s="41"/>
      <c r="G3" s="41" t="s">
        <v>101</v>
      </c>
      <c r="H3" s="41"/>
      <c r="I3" s="41"/>
      <c r="J3" s="41"/>
      <c r="K3" s="41" t="s">
        <v>102</v>
      </c>
      <c r="L3" s="41"/>
      <c r="M3" s="41"/>
      <c r="N3" s="41"/>
    </row>
    <row r="4" spans="1:14" s="8" customFormat="1" ht="42" customHeight="1" x14ac:dyDescent="0.25">
      <c r="A4" s="41"/>
      <c r="B4" s="42"/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30</v>
      </c>
      <c r="H4" s="19" t="s">
        <v>31</v>
      </c>
      <c r="I4" s="19" t="s">
        <v>32</v>
      </c>
      <c r="J4" s="19" t="s">
        <v>33</v>
      </c>
      <c r="K4" s="19" t="s">
        <v>30</v>
      </c>
      <c r="L4" s="19" t="s">
        <v>31</v>
      </c>
      <c r="M4" s="19" t="s">
        <v>32</v>
      </c>
      <c r="N4" s="19" t="s">
        <v>33</v>
      </c>
    </row>
    <row r="5" spans="1:14" ht="27" customHeight="1" x14ac:dyDescent="0.25">
      <c r="A5" s="34" t="s">
        <v>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s="4" customFormat="1" ht="19.5" customHeight="1" x14ac:dyDescent="0.25">
      <c r="A6" s="3">
        <v>1</v>
      </c>
      <c r="B6" s="9" t="s">
        <v>2</v>
      </c>
      <c r="C6" s="10">
        <v>288944</v>
      </c>
      <c r="D6" s="10">
        <v>323295</v>
      </c>
      <c r="E6" s="11">
        <v>3439.6102999999985</v>
      </c>
      <c r="F6" s="11">
        <v>4648.6763000000001</v>
      </c>
      <c r="G6" s="10">
        <v>316766</v>
      </c>
      <c r="H6" s="10">
        <v>340517</v>
      </c>
      <c r="I6" s="11">
        <v>3010.9205000000011</v>
      </c>
      <c r="J6" s="11">
        <v>5362.1144999999988</v>
      </c>
      <c r="K6" s="10">
        <v>351446</v>
      </c>
      <c r="L6" s="10">
        <v>328255</v>
      </c>
      <c r="M6" s="11">
        <v>3580.0650000000001</v>
      </c>
      <c r="N6" s="11">
        <v>5981.223</v>
      </c>
    </row>
    <row r="7" spans="1:14" s="4" customFormat="1" ht="19.5" customHeight="1" x14ac:dyDescent="0.25">
      <c r="A7" s="3">
        <v>2</v>
      </c>
      <c r="B7" s="12" t="s">
        <v>59</v>
      </c>
      <c r="C7" s="10">
        <v>165409</v>
      </c>
      <c r="D7" s="10">
        <v>202839</v>
      </c>
      <c r="E7" s="13">
        <v>119.59099999999999</v>
      </c>
      <c r="F7" s="13">
        <v>1982.364</v>
      </c>
      <c r="G7" s="10">
        <v>223245</v>
      </c>
      <c r="H7" s="10">
        <v>221514</v>
      </c>
      <c r="I7" s="11">
        <v>57.636000000000003</v>
      </c>
      <c r="J7" s="11">
        <v>2136.922</v>
      </c>
      <c r="K7" s="10">
        <v>227317</v>
      </c>
      <c r="L7" s="10">
        <v>174993</v>
      </c>
      <c r="M7" s="11">
        <v>45.896999999999998</v>
      </c>
      <c r="N7" s="11">
        <v>2029.9190000000001</v>
      </c>
    </row>
    <row r="8" spans="1:14" s="4" customFormat="1" ht="19.5" customHeight="1" x14ac:dyDescent="0.25">
      <c r="A8" s="3">
        <v>3</v>
      </c>
      <c r="B8" s="12" t="s">
        <v>87</v>
      </c>
      <c r="C8" s="10">
        <v>901</v>
      </c>
      <c r="D8" s="10">
        <v>904</v>
      </c>
      <c r="E8" s="13">
        <v>0</v>
      </c>
      <c r="F8" s="13">
        <v>0</v>
      </c>
      <c r="G8" s="10">
        <v>1105</v>
      </c>
      <c r="H8" s="10">
        <v>882</v>
      </c>
      <c r="I8" s="11">
        <v>0</v>
      </c>
      <c r="J8" s="11">
        <v>0</v>
      </c>
      <c r="K8" s="10">
        <v>1028</v>
      </c>
      <c r="L8" s="10">
        <v>966</v>
      </c>
      <c r="M8" s="11">
        <v>0</v>
      </c>
      <c r="N8" s="11">
        <v>0</v>
      </c>
    </row>
    <row r="9" spans="1:14" s="4" customFormat="1" ht="19.5" customHeight="1" x14ac:dyDescent="0.25">
      <c r="A9" s="3">
        <v>4</v>
      </c>
      <c r="B9" s="9" t="s">
        <v>60</v>
      </c>
      <c r="C9" s="10">
        <v>40341</v>
      </c>
      <c r="D9" s="10">
        <v>45440</v>
      </c>
      <c r="E9" s="11">
        <v>53</v>
      </c>
      <c r="F9" s="11">
        <v>188</v>
      </c>
      <c r="G9" s="10">
        <v>2580</v>
      </c>
      <c r="H9" s="10">
        <v>2579</v>
      </c>
      <c r="I9" s="11">
        <v>4.08894</v>
      </c>
      <c r="J9" s="11">
        <v>12.08</v>
      </c>
      <c r="K9" s="14">
        <v>0</v>
      </c>
      <c r="L9" s="14">
        <v>0</v>
      </c>
      <c r="M9" s="13">
        <v>0</v>
      </c>
      <c r="N9" s="13">
        <v>0</v>
      </c>
    </row>
    <row r="10" spans="1:14" s="4" customFormat="1" ht="19.5" customHeight="1" x14ac:dyDescent="0.25">
      <c r="A10" s="3">
        <v>5</v>
      </c>
      <c r="B10" s="9" t="s">
        <v>61</v>
      </c>
      <c r="C10" s="10">
        <v>374173</v>
      </c>
      <c r="D10" s="10">
        <v>430224</v>
      </c>
      <c r="E10" s="11">
        <v>344.79199999999997</v>
      </c>
      <c r="F10" s="11">
        <v>2750.971</v>
      </c>
      <c r="G10" s="10">
        <v>457089</v>
      </c>
      <c r="H10" s="10">
        <v>470395</v>
      </c>
      <c r="I10" s="11">
        <v>375.41399999999999</v>
      </c>
      <c r="J10" s="11">
        <v>2977.7130000000002</v>
      </c>
      <c r="K10" s="10">
        <v>514801</v>
      </c>
      <c r="L10" s="10">
        <v>430401</v>
      </c>
      <c r="M10" s="11">
        <v>320.685</v>
      </c>
      <c r="N10" s="11">
        <v>2256.6489999999999</v>
      </c>
    </row>
    <row r="11" spans="1:14" s="4" customFormat="1" ht="19.5" customHeight="1" x14ac:dyDescent="0.25">
      <c r="A11" s="3">
        <v>6</v>
      </c>
      <c r="B11" s="12" t="s">
        <v>62</v>
      </c>
      <c r="C11" s="10">
        <v>71597</v>
      </c>
      <c r="D11" s="10">
        <v>82516</v>
      </c>
      <c r="E11" s="13">
        <v>87.133420000000001</v>
      </c>
      <c r="F11" s="13">
        <v>144.11784000000006</v>
      </c>
      <c r="G11" s="10">
        <v>74343</v>
      </c>
      <c r="H11" s="10">
        <v>80650</v>
      </c>
      <c r="I11" s="11">
        <v>34.178470000000004</v>
      </c>
      <c r="J11" s="11">
        <v>156.74189999999996</v>
      </c>
      <c r="K11" s="10">
        <v>59721</v>
      </c>
      <c r="L11" s="10">
        <v>50085</v>
      </c>
      <c r="M11" s="11">
        <v>13.296149999999999</v>
      </c>
      <c r="N11" s="11">
        <v>112.27106000000001</v>
      </c>
    </row>
    <row r="12" spans="1:14" s="4" customFormat="1" ht="19.5" customHeight="1" x14ac:dyDescent="0.25">
      <c r="A12" s="3">
        <v>7</v>
      </c>
      <c r="B12" s="12" t="s">
        <v>41</v>
      </c>
      <c r="C12" s="10">
        <v>71439</v>
      </c>
      <c r="D12" s="10">
        <v>80567</v>
      </c>
      <c r="E12" s="13">
        <v>685.40398999999991</v>
      </c>
      <c r="F12" s="13">
        <v>1240.0944999999999</v>
      </c>
      <c r="G12" s="10">
        <v>77152</v>
      </c>
      <c r="H12" s="10">
        <v>85269</v>
      </c>
      <c r="I12" s="11">
        <v>709.28404</v>
      </c>
      <c r="J12" s="11">
        <v>1197.6627100000003</v>
      </c>
      <c r="K12" s="10">
        <v>92118</v>
      </c>
      <c r="L12" s="10">
        <v>81890</v>
      </c>
      <c r="M12" s="11">
        <v>777.98850000000004</v>
      </c>
      <c r="N12" s="11">
        <v>1561.6714299999999</v>
      </c>
    </row>
    <row r="13" spans="1:14" ht="31.5" customHeight="1" x14ac:dyDescent="0.25">
      <c r="A13" s="35" t="s">
        <v>3</v>
      </c>
      <c r="B13" s="35"/>
      <c r="C13" s="5">
        <f t="shared" ref="C13:N13" si="0">SUM(C6:C12)</f>
        <v>1012804</v>
      </c>
      <c r="D13" s="5">
        <f t="shared" si="0"/>
        <v>1165785</v>
      </c>
      <c r="E13" s="6">
        <f t="shared" si="0"/>
        <v>4729.5307099999982</v>
      </c>
      <c r="F13" s="6">
        <f t="shared" si="0"/>
        <v>10954.22364</v>
      </c>
      <c r="G13" s="5">
        <f t="shared" si="0"/>
        <v>1152280</v>
      </c>
      <c r="H13" s="5">
        <f t="shared" si="0"/>
        <v>1201806</v>
      </c>
      <c r="I13" s="6">
        <f t="shared" si="0"/>
        <v>4191.5219500000003</v>
      </c>
      <c r="J13" s="6">
        <f t="shared" si="0"/>
        <v>11843.234109999998</v>
      </c>
      <c r="K13" s="5">
        <f t="shared" si="0"/>
        <v>1246431</v>
      </c>
      <c r="L13" s="5">
        <f t="shared" si="0"/>
        <v>1066590</v>
      </c>
      <c r="M13" s="6">
        <f t="shared" si="0"/>
        <v>4737.9316500000004</v>
      </c>
      <c r="N13" s="6">
        <f t="shared" si="0"/>
        <v>11941.733489999999</v>
      </c>
    </row>
    <row r="14" spans="1:14" ht="28.5" customHeight="1" x14ac:dyDescent="0.25">
      <c r="A14" s="36" t="s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24" customFormat="1" ht="18" customHeight="1" x14ac:dyDescent="0.25">
      <c r="A15" s="20">
        <v>1</v>
      </c>
      <c r="B15" s="21" t="s">
        <v>88</v>
      </c>
      <c r="C15" s="22">
        <v>300</v>
      </c>
      <c r="D15" s="22">
        <v>279</v>
      </c>
      <c r="E15" s="23">
        <v>0</v>
      </c>
      <c r="F15" s="23">
        <v>14.648</v>
      </c>
      <c r="G15" s="22">
        <v>566</v>
      </c>
      <c r="H15" s="22">
        <v>733</v>
      </c>
      <c r="I15" s="23">
        <v>0</v>
      </c>
      <c r="J15" s="23">
        <v>11.177</v>
      </c>
      <c r="K15" s="22">
        <v>3391</v>
      </c>
      <c r="L15" s="22">
        <v>410</v>
      </c>
      <c r="M15" s="23">
        <v>0.11799999999999999</v>
      </c>
      <c r="N15" s="23">
        <v>19.210999999999999</v>
      </c>
    </row>
    <row r="16" spans="1:14" s="24" customFormat="1" ht="18" customHeight="1" x14ac:dyDescent="0.25">
      <c r="A16" s="20">
        <v>2</v>
      </c>
      <c r="B16" s="25" t="s">
        <v>5</v>
      </c>
      <c r="C16" s="22">
        <v>5758</v>
      </c>
      <c r="D16" s="22">
        <v>8773</v>
      </c>
      <c r="E16" s="23">
        <v>71.448999999999998</v>
      </c>
      <c r="F16" s="23">
        <v>270.04599999999999</v>
      </c>
      <c r="G16" s="22">
        <v>4543</v>
      </c>
      <c r="H16" s="22">
        <v>7239</v>
      </c>
      <c r="I16" s="23">
        <v>58.39</v>
      </c>
      <c r="J16" s="23">
        <v>267.43200000000002</v>
      </c>
      <c r="K16" s="22">
        <v>7826</v>
      </c>
      <c r="L16" s="22">
        <v>5323</v>
      </c>
      <c r="M16" s="23">
        <v>68.903999999999996</v>
      </c>
      <c r="N16" s="23">
        <v>252.40199999999999</v>
      </c>
    </row>
    <row r="17" spans="1:15" s="24" customFormat="1" ht="18" customHeight="1" x14ac:dyDescent="0.25">
      <c r="A17" s="20">
        <v>3</v>
      </c>
      <c r="B17" s="25" t="s">
        <v>6</v>
      </c>
      <c r="C17" s="22">
        <v>0</v>
      </c>
      <c r="D17" s="22">
        <v>0</v>
      </c>
      <c r="E17" s="26">
        <v>10293.205</v>
      </c>
      <c r="F17" s="26">
        <v>10230.057000000001</v>
      </c>
      <c r="G17" s="22">
        <v>0</v>
      </c>
      <c r="H17" s="22">
        <v>0</v>
      </c>
      <c r="I17" s="23">
        <v>5672.3050000000003</v>
      </c>
      <c r="J17" s="23">
        <v>6202.1040000000003</v>
      </c>
      <c r="K17" s="22">
        <v>0</v>
      </c>
      <c r="L17" s="22">
        <v>0</v>
      </c>
      <c r="M17" s="23">
        <v>4282.6949999999997</v>
      </c>
      <c r="N17" s="23">
        <v>5947.7079999999996</v>
      </c>
    </row>
    <row r="18" spans="1:15" s="24" customFormat="1" ht="18" customHeight="1" x14ac:dyDescent="0.25">
      <c r="A18" s="20">
        <v>4</v>
      </c>
      <c r="B18" s="21" t="s">
        <v>7</v>
      </c>
      <c r="C18" s="22">
        <v>68133</v>
      </c>
      <c r="D18" s="22">
        <v>72676</v>
      </c>
      <c r="E18" s="23">
        <v>105.568</v>
      </c>
      <c r="F18" s="23">
        <v>1003.9880000000001</v>
      </c>
      <c r="G18" s="22">
        <v>70674</v>
      </c>
      <c r="H18" s="22">
        <v>77473</v>
      </c>
      <c r="I18" s="23">
        <v>79.361000000000004</v>
      </c>
      <c r="J18" s="23">
        <v>1015.8630000000001</v>
      </c>
      <c r="K18" s="27">
        <v>76253</v>
      </c>
      <c r="L18" s="27">
        <v>59494</v>
      </c>
      <c r="M18" s="26">
        <v>74.974000000000004</v>
      </c>
      <c r="N18" s="26">
        <v>1033.3510000000001</v>
      </c>
    </row>
    <row r="19" spans="1:15" s="24" customFormat="1" ht="18" customHeight="1" x14ac:dyDescent="0.25">
      <c r="A19" s="20">
        <v>5</v>
      </c>
      <c r="B19" s="21" t="s">
        <v>70</v>
      </c>
      <c r="C19" s="22">
        <v>24676</v>
      </c>
      <c r="D19" s="22">
        <v>30717</v>
      </c>
      <c r="E19" s="23">
        <v>10.022</v>
      </c>
      <c r="F19" s="23">
        <v>311.42200000000003</v>
      </c>
      <c r="G19" s="22">
        <v>39287</v>
      </c>
      <c r="H19" s="22">
        <v>42667</v>
      </c>
      <c r="I19" s="23">
        <v>10.725</v>
      </c>
      <c r="J19" s="23">
        <v>420.56900000000002</v>
      </c>
      <c r="K19" s="22">
        <v>45497</v>
      </c>
      <c r="L19" s="22">
        <v>26920</v>
      </c>
      <c r="M19" s="23">
        <v>8.1059999999999999</v>
      </c>
      <c r="N19" s="23">
        <v>296.24900000000002</v>
      </c>
      <c r="O19" s="28"/>
    </row>
    <row r="20" spans="1:15" s="24" customFormat="1" ht="18" customHeight="1" x14ac:dyDescent="0.25">
      <c r="A20" s="20">
        <v>6</v>
      </c>
      <c r="B20" s="21" t="s">
        <v>63</v>
      </c>
      <c r="C20" s="22">
        <v>34202</v>
      </c>
      <c r="D20" s="22">
        <v>35713</v>
      </c>
      <c r="E20" s="23">
        <v>44.883000000000003</v>
      </c>
      <c r="F20" s="23">
        <v>388.68099999999998</v>
      </c>
      <c r="G20" s="22">
        <v>37634</v>
      </c>
      <c r="H20" s="22">
        <v>40729</v>
      </c>
      <c r="I20" s="23">
        <v>43.923999999999999</v>
      </c>
      <c r="J20" s="23">
        <v>343</v>
      </c>
      <c r="K20" s="22">
        <v>42221</v>
      </c>
      <c r="L20" s="22">
        <v>39394</v>
      </c>
      <c r="M20" s="23">
        <v>72.768000000000001</v>
      </c>
      <c r="N20" s="23">
        <v>300.73500000000001</v>
      </c>
    </row>
    <row r="21" spans="1:15" s="24" customFormat="1" ht="18" customHeight="1" x14ac:dyDescent="0.25">
      <c r="A21" s="20">
        <v>7</v>
      </c>
      <c r="B21" s="21" t="s">
        <v>47</v>
      </c>
      <c r="C21" s="27">
        <v>5007</v>
      </c>
      <c r="D21" s="27">
        <v>4508</v>
      </c>
      <c r="E21" s="23">
        <v>195.095</v>
      </c>
      <c r="F21" s="23">
        <v>236.13499999999999</v>
      </c>
      <c r="G21" s="22">
        <v>4833</v>
      </c>
      <c r="H21" s="22">
        <v>5893</v>
      </c>
      <c r="I21" s="23">
        <v>178.81</v>
      </c>
      <c r="J21" s="23">
        <v>256.54700000000003</v>
      </c>
      <c r="K21" s="22">
        <v>5689</v>
      </c>
      <c r="L21" s="22">
        <v>5946</v>
      </c>
      <c r="M21" s="23">
        <v>175.52799999999999</v>
      </c>
      <c r="N21" s="23">
        <v>224.04400000000001</v>
      </c>
    </row>
    <row r="22" spans="1:15" s="24" customFormat="1" ht="18" customHeight="1" x14ac:dyDescent="0.25">
      <c r="A22" s="20">
        <v>8</v>
      </c>
      <c r="B22" s="29" t="s">
        <v>90</v>
      </c>
      <c r="C22" s="27">
        <v>3403</v>
      </c>
      <c r="D22" s="27">
        <v>4046</v>
      </c>
      <c r="E22" s="23">
        <v>0.31900000000000001</v>
      </c>
      <c r="F22" s="23">
        <v>42.965000000000003</v>
      </c>
      <c r="G22" s="22">
        <v>3575</v>
      </c>
      <c r="H22" s="22">
        <v>3977</v>
      </c>
      <c r="I22" s="23">
        <v>0.496</v>
      </c>
      <c r="J22" s="23">
        <v>23.891999999999999</v>
      </c>
      <c r="K22" s="22">
        <v>6492</v>
      </c>
      <c r="L22" s="22">
        <v>4071</v>
      </c>
      <c r="M22" s="23">
        <v>8.0000000000000002E-3</v>
      </c>
      <c r="N22" s="23">
        <v>31.161999999999999</v>
      </c>
    </row>
    <row r="23" spans="1:15" s="24" customFormat="1" ht="18" customHeight="1" x14ac:dyDescent="0.25">
      <c r="A23" s="20">
        <v>9</v>
      </c>
      <c r="B23" s="25" t="s">
        <v>79</v>
      </c>
      <c r="C23" s="22">
        <v>0</v>
      </c>
      <c r="D23" s="22">
        <v>111</v>
      </c>
      <c r="E23" s="23">
        <v>0</v>
      </c>
      <c r="F23" s="23">
        <v>0</v>
      </c>
      <c r="G23" s="27">
        <v>0</v>
      </c>
      <c r="H23" s="27">
        <v>0</v>
      </c>
      <c r="I23" s="26">
        <v>0</v>
      </c>
      <c r="J23" s="26">
        <v>0</v>
      </c>
      <c r="K23" s="27">
        <v>0</v>
      </c>
      <c r="L23" s="27">
        <v>0</v>
      </c>
      <c r="M23" s="26">
        <v>0</v>
      </c>
      <c r="N23" s="26">
        <v>0</v>
      </c>
    </row>
    <row r="24" spans="1:15" s="24" customFormat="1" ht="18" customHeight="1" x14ac:dyDescent="0.25">
      <c r="A24" s="20">
        <v>10</v>
      </c>
      <c r="B24" s="21" t="s">
        <v>42</v>
      </c>
      <c r="C24" s="22">
        <v>9738</v>
      </c>
      <c r="D24" s="22">
        <v>12467</v>
      </c>
      <c r="E24" s="23">
        <v>151.50299999999999</v>
      </c>
      <c r="F24" s="23">
        <v>246.33500000000001</v>
      </c>
      <c r="G24" s="22">
        <v>10713</v>
      </c>
      <c r="H24" s="22">
        <v>12652</v>
      </c>
      <c r="I24" s="23">
        <v>166.251</v>
      </c>
      <c r="J24" s="23">
        <v>280.39400000000001</v>
      </c>
      <c r="K24" s="22">
        <v>11488</v>
      </c>
      <c r="L24" s="22">
        <v>12304</v>
      </c>
      <c r="M24" s="23">
        <v>178.58500000000001</v>
      </c>
      <c r="N24" s="23">
        <v>225.048</v>
      </c>
    </row>
    <row r="25" spans="1:15" s="24" customFormat="1" ht="18" customHeight="1" x14ac:dyDescent="0.25">
      <c r="A25" s="20">
        <v>11</v>
      </c>
      <c r="B25" s="21" t="s">
        <v>43</v>
      </c>
      <c r="C25" s="22">
        <v>17470</v>
      </c>
      <c r="D25" s="22">
        <v>27066</v>
      </c>
      <c r="E25" s="23">
        <v>678.25</v>
      </c>
      <c r="F25" s="23">
        <v>1116.145</v>
      </c>
      <c r="G25" s="22">
        <v>25889</v>
      </c>
      <c r="H25" s="22">
        <v>31023</v>
      </c>
      <c r="I25" s="23">
        <v>1186.78</v>
      </c>
      <c r="J25" s="23">
        <v>1650.2550000000001</v>
      </c>
      <c r="K25" s="22">
        <v>28672</v>
      </c>
      <c r="L25" s="22">
        <v>30385</v>
      </c>
      <c r="M25" s="23">
        <v>1323.27</v>
      </c>
      <c r="N25" s="23">
        <v>1921.9870000000001</v>
      </c>
    </row>
    <row r="26" spans="1:15" s="24" customFormat="1" ht="18" customHeight="1" x14ac:dyDescent="0.25">
      <c r="A26" s="20">
        <v>12</v>
      </c>
      <c r="B26" s="21" t="s">
        <v>48</v>
      </c>
      <c r="C26" s="22">
        <v>4178</v>
      </c>
      <c r="D26" s="22">
        <v>4893</v>
      </c>
      <c r="E26" s="23">
        <v>26.709</v>
      </c>
      <c r="F26" s="23">
        <v>229.25700000000001</v>
      </c>
      <c r="G26" s="22">
        <v>6044</v>
      </c>
      <c r="H26" s="22">
        <v>7101</v>
      </c>
      <c r="I26" s="23">
        <v>23.911000000000001</v>
      </c>
      <c r="J26" s="23">
        <v>423.95</v>
      </c>
      <c r="K26" s="22">
        <v>8887</v>
      </c>
      <c r="L26" s="22">
        <v>7222</v>
      </c>
      <c r="M26" s="23">
        <v>15.08</v>
      </c>
      <c r="N26" s="23">
        <v>470.22300000000001</v>
      </c>
    </row>
    <row r="27" spans="1:15" s="24" customFormat="1" ht="18" customHeight="1" x14ac:dyDescent="0.25">
      <c r="A27" s="20">
        <v>13</v>
      </c>
      <c r="B27" s="29" t="s">
        <v>56</v>
      </c>
      <c r="C27" s="27">
        <v>370</v>
      </c>
      <c r="D27" s="27">
        <v>416</v>
      </c>
      <c r="E27" s="23">
        <v>0</v>
      </c>
      <c r="F27" s="23">
        <v>2.3359999999999999</v>
      </c>
      <c r="G27" s="22">
        <v>481</v>
      </c>
      <c r="H27" s="22">
        <v>884</v>
      </c>
      <c r="I27" s="23">
        <v>8.5999999999999993E-2</v>
      </c>
      <c r="J27" s="23">
        <v>4.2169999999999996</v>
      </c>
      <c r="K27" s="22">
        <v>887</v>
      </c>
      <c r="L27" s="22">
        <v>1175</v>
      </c>
      <c r="M27" s="23">
        <v>8.5999999999999993E-2</v>
      </c>
      <c r="N27" s="23">
        <v>4.2169999999999996</v>
      </c>
    </row>
    <row r="28" spans="1:15" s="24" customFormat="1" ht="18" customHeight="1" x14ac:dyDescent="0.25">
      <c r="A28" s="20">
        <v>14</v>
      </c>
      <c r="B28" s="21" t="s">
        <v>71</v>
      </c>
      <c r="C28" s="22">
        <v>2451</v>
      </c>
      <c r="D28" s="22">
        <v>2585</v>
      </c>
      <c r="E28" s="23">
        <v>0.20430000000000001</v>
      </c>
      <c r="F28" s="23">
        <v>131.47550000000001</v>
      </c>
      <c r="G28" s="22">
        <v>2410</v>
      </c>
      <c r="H28" s="22">
        <v>3468</v>
      </c>
      <c r="I28" s="23">
        <v>24.617000000000001</v>
      </c>
      <c r="J28" s="23">
        <v>100.22489999999999</v>
      </c>
      <c r="K28" s="22">
        <v>2932</v>
      </c>
      <c r="L28" s="22">
        <v>2814</v>
      </c>
      <c r="M28" s="23">
        <v>0.25800000000000001</v>
      </c>
      <c r="N28" s="23">
        <v>0.29220000000000002</v>
      </c>
    </row>
    <row r="29" spans="1:15" s="24" customFormat="1" ht="18" customHeight="1" x14ac:dyDescent="0.25">
      <c r="A29" s="20">
        <v>15</v>
      </c>
      <c r="B29" s="21" t="s">
        <v>46</v>
      </c>
      <c r="C29" s="22">
        <v>3506</v>
      </c>
      <c r="D29" s="22">
        <v>5626</v>
      </c>
      <c r="E29" s="23">
        <v>267.49700000000001</v>
      </c>
      <c r="F29" s="23">
        <v>419.99799999999999</v>
      </c>
      <c r="G29" s="22">
        <v>2445</v>
      </c>
      <c r="H29" s="22">
        <v>5956</v>
      </c>
      <c r="I29" s="23">
        <v>229.85499999999999</v>
      </c>
      <c r="J29" s="23">
        <v>390.00700000000001</v>
      </c>
      <c r="K29" s="22">
        <v>3138</v>
      </c>
      <c r="L29" s="22">
        <v>5528</v>
      </c>
      <c r="M29" s="23">
        <v>263.18900000000002</v>
      </c>
      <c r="N29" s="23">
        <v>347.53800000000001</v>
      </c>
    </row>
    <row r="30" spans="1:15" s="24" customFormat="1" ht="18" customHeight="1" x14ac:dyDescent="0.25">
      <c r="A30" s="20">
        <v>16</v>
      </c>
      <c r="B30" s="21" t="s">
        <v>72</v>
      </c>
      <c r="C30" s="22">
        <v>5109</v>
      </c>
      <c r="D30" s="22">
        <v>7801</v>
      </c>
      <c r="E30" s="23">
        <v>122.66930000000001</v>
      </c>
      <c r="F30" s="23">
        <v>202.6722</v>
      </c>
      <c r="G30" s="22">
        <v>7356</v>
      </c>
      <c r="H30" s="22">
        <v>6608</v>
      </c>
      <c r="I30" s="23">
        <v>98.295699999999997</v>
      </c>
      <c r="J30" s="23">
        <v>220.97200000000001</v>
      </c>
      <c r="K30" s="22">
        <v>8270</v>
      </c>
      <c r="L30" s="22">
        <v>5822</v>
      </c>
      <c r="M30" s="23">
        <v>51.0456</v>
      </c>
      <c r="N30" s="23">
        <v>257.23599999999999</v>
      </c>
    </row>
    <row r="31" spans="1:15" s="24" customFormat="1" ht="18" customHeight="1" x14ac:dyDescent="0.25">
      <c r="A31" s="20">
        <v>17</v>
      </c>
      <c r="B31" s="21" t="s">
        <v>73</v>
      </c>
      <c r="C31" s="22">
        <v>0</v>
      </c>
      <c r="D31" s="22">
        <v>0</v>
      </c>
      <c r="E31" s="23">
        <v>96.230999999999995</v>
      </c>
      <c r="F31" s="23">
        <v>62.308</v>
      </c>
      <c r="G31" s="22">
        <v>0</v>
      </c>
      <c r="H31" s="22">
        <v>0</v>
      </c>
      <c r="I31" s="23">
        <v>18.507999999999999</v>
      </c>
      <c r="J31" s="23">
        <v>41.749000000000002</v>
      </c>
      <c r="K31" s="22">
        <v>3</v>
      </c>
      <c r="L31" s="22">
        <v>3</v>
      </c>
      <c r="M31" s="23">
        <v>32.281999999999996</v>
      </c>
      <c r="N31" s="23">
        <v>55.703000000000003</v>
      </c>
    </row>
    <row r="32" spans="1:15" s="24" customFormat="1" ht="18" customHeight="1" x14ac:dyDescent="0.25">
      <c r="A32" s="20">
        <v>18</v>
      </c>
      <c r="B32" s="21" t="s">
        <v>95</v>
      </c>
      <c r="C32" s="22">
        <v>1436</v>
      </c>
      <c r="D32" s="22">
        <v>2504</v>
      </c>
      <c r="E32" s="23">
        <v>30.33</v>
      </c>
      <c r="F32" s="23">
        <v>32.273400000000002</v>
      </c>
      <c r="G32" s="22">
        <v>867</v>
      </c>
      <c r="H32" s="22">
        <v>1514</v>
      </c>
      <c r="I32" s="23">
        <v>9.49</v>
      </c>
      <c r="J32" s="23">
        <v>9.49</v>
      </c>
      <c r="K32" s="22">
        <v>1658</v>
      </c>
      <c r="L32" s="22">
        <v>1725</v>
      </c>
      <c r="M32" s="23">
        <v>33.487000000000002</v>
      </c>
      <c r="N32" s="23">
        <v>33.8932</v>
      </c>
    </row>
    <row r="33" spans="1:14" s="24" customFormat="1" ht="18" customHeight="1" x14ac:dyDescent="0.25">
      <c r="A33" s="20">
        <v>19</v>
      </c>
      <c r="B33" s="21" t="s">
        <v>85</v>
      </c>
      <c r="C33" s="22">
        <v>805</v>
      </c>
      <c r="D33" s="22">
        <v>857</v>
      </c>
      <c r="E33" s="23">
        <v>0</v>
      </c>
      <c r="F33" s="23">
        <v>18.042000000000002</v>
      </c>
      <c r="G33" s="22">
        <v>1676</v>
      </c>
      <c r="H33" s="22">
        <v>1668</v>
      </c>
      <c r="I33" s="23">
        <v>0</v>
      </c>
      <c r="J33" s="23">
        <v>45.188000000000002</v>
      </c>
      <c r="K33" s="22">
        <v>2155</v>
      </c>
      <c r="L33" s="22">
        <v>1993</v>
      </c>
      <c r="M33" s="26">
        <v>0</v>
      </c>
      <c r="N33" s="26">
        <v>24.3</v>
      </c>
    </row>
    <row r="34" spans="1:14" s="24" customFormat="1" ht="18" customHeight="1" x14ac:dyDescent="0.25">
      <c r="A34" s="20">
        <v>20</v>
      </c>
      <c r="B34" s="21" t="s">
        <v>89</v>
      </c>
      <c r="C34" s="22">
        <v>733</v>
      </c>
      <c r="D34" s="22">
        <v>769</v>
      </c>
      <c r="E34" s="23">
        <v>0</v>
      </c>
      <c r="F34" s="23">
        <v>0</v>
      </c>
      <c r="G34" s="22">
        <v>1837</v>
      </c>
      <c r="H34" s="22">
        <v>1762</v>
      </c>
      <c r="I34" s="23">
        <v>0</v>
      </c>
      <c r="J34" s="23">
        <v>0</v>
      </c>
      <c r="K34" s="22">
        <v>1380</v>
      </c>
      <c r="L34" s="22">
        <v>1252</v>
      </c>
      <c r="M34" s="23">
        <v>0</v>
      </c>
      <c r="N34" s="23">
        <v>0</v>
      </c>
    </row>
    <row r="35" spans="1:14" s="24" customFormat="1" ht="18" customHeight="1" x14ac:dyDescent="0.25">
      <c r="A35" s="20">
        <v>21</v>
      </c>
      <c r="B35" s="21" t="s">
        <v>8</v>
      </c>
      <c r="C35" s="22">
        <v>8609</v>
      </c>
      <c r="D35" s="22">
        <v>8308</v>
      </c>
      <c r="E35" s="23">
        <v>8.9999999999999993E-3</v>
      </c>
      <c r="F35" s="23">
        <v>70.322999999999993</v>
      </c>
      <c r="G35" s="27">
        <v>7777</v>
      </c>
      <c r="H35" s="27">
        <v>10304</v>
      </c>
      <c r="I35" s="23">
        <v>3.4000000000000002E-2</v>
      </c>
      <c r="J35" s="23">
        <v>36.978999999999999</v>
      </c>
      <c r="K35" s="22">
        <v>7364</v>
      </c>
      <c r="L35" s="22">
        <v>7570</v>
      </c>
      <c r="M35" s="23">
        <v>1.667</v>
      </c>
      <c r="N35" s="23">
        <v>29.219000000000001</v>
      </c>
    </row>
    <row r="36" spans="1:14" s="24" customFormat="1" ht="18" customHeight="1" x14ac:dyDescent="0.25">
      <c r="A36" s="20">
        <v>22</v>
      </c>
      <c r="B36" s="21" t="s">
        <v>80</v>
      </c>
      <c r="C36" s="22">
        <v>33600</v>
      </c>
      <c r="D36" s="22">
        <v>49625</v>
      </c>
      <c r="E36" s="23">
        <v>1524.18</v>
      </c>
      <c r="F36" s="23">
        <v>2784.58</v>
      </c>
      <c r="G36" s="27">
        <v>39110</v>
      </c>
      <c r="H36" s="27">
        <v>48931</v>
      </c>
      <c r="I36" s="23">
        <v>1414.28</v>
      </c>
      <c r="J36" s="23">
        <v>2782.24</v>
      </c>
      <c r="K36" s="22">
        <v>42588</v>
      </c>
      <c r="L36" s="22">
        <v>42194</v>
      </c>
      <c r="M36" s="23">
        <v>1135.3</v>
      </c>
      <c r="N36" s="23">
        <v>2676.46</v>
      </c>
    </row>
    <row r="37" spans="1:14" s="24" customFormat="1" ht="18" customHeight="1" x14ac:dyDescent="0.25">
      <c r="A37" s="20">
        <v>23</v>
      </c>
      <c r="B37" s="25" t="s">
        <v>81</v>
      </c>
      <c r="C37" s="22">
        <v>411</v>
      </c>
      <c r="D37" s="22">
        <v>387</v>
      </c>
      <c r="E37" s="23">
        <v>0</v>
      </c>
      <c r="F37" s="23">
        <v>0</v>
      </c>
      <c r="G37" s="22">
        <v>366</v>
      </c>
      <c r="H37" s="22">
        <v>366</v>
      </c>
      <c r="I37" s="23">
        <v>0</v>
      </c>
      <c r="J37" s="23">
        <v>0</v>
      </c>
      <c r="K37" s="22">
        <v>413</v>
      </c>
      <c r="L37" s="22">
        <v>379</v>
      </c>
      <c r="M37" s="23">
        <v>0</v>
      </c>
      <c r="N37" s="23">
        <v>0</v>
      </c>
    </row>
    <row r="38" spans="1:14" s="24" customFormat="1" ht="18" customHeight="1" x14ac:dyDescent="0.25">
      <c r="A38" s="20">
        <v>24</v>
      </c>
      <c r="B38" s="21" t="s">
        <v>9</v>
      </c>
      <c r="C38" s="22">
        <v>20006</v>
      </c>
      <c r="D38" s="22">
        <v>23997</v>
      </c>
      <c r="E38" s="23">
        <v>6623.893</v>
      </c>
      <c r="F38" s="23">
        <v>2766.0710800000002</v>
      </c>
      <c r="G38" s="22">
        <v>21944</v>
      </c>
      <c r="H38" s="22">
        <v>28561</v>
      </c>
      <c r="I38" s="23">
        <v>6814.5032000000001</v>
      </c>
      <c r="J38" s="23">
        <v>2935.7396100000005</v>
      </c>
      <c r="K38" s="22">
        <v>27385</v>
      </c>
      <c r="L38" s="22">
        <v>27762</v>
      </c>
      <c r="M38" s="23">
        <v>6816.8867299999993</v>
      </c>
      <c r="N38" s="23">
        <v>2573.5510800000002</v>
      </c>
    </row>
    <row r="39" spans="1:14" s="24" customFormat="1" ht="18" customHeight="1" x14ac:dyDescent="0.25">
      <c r="A39" s="20">
        <v>25</v>
      </c>
      <c r="B39" s="21" t="s">
        <v>99</v>
      </c>
      <c r="C39" s="22">
        <v>0</v>
      </c>
      <c r="D39" s="22">
        <v>0</v>
      </c>
      <c r="E39" s="23">
        <v>192.06</v>
      </c>
      <c r="F39" s="23">
        <v>205.34</v>
      </c>
      <c r="G39" s="22">
        <v>0</v>
      </c>
      <c r="H39" s="22">
        <v>0</v>
      </c>
      <c r="I39" s="23">
        <v>166.83500000000001</v>
      </c>
      <c r="J39" s="23">
        <v>221.40799999999999</v>
      </c>
      <c r="K39" s="22">
        <v>0</v>
      </c>
      <c r="L39" s="22">
        <v>0</v>
      </c>
      <c r="M39" s="23">
        <v>93.427999999999997</v>
      </c>
      <c r="N39" s="23">
        <v>134.988</v>
      </c>
    </row>
    <row r="40" spans="1:14" s="24" customFormat="1" ht="18" customHeight="1" x14ac:dyDescent="0.25">
      <c r="A40" s="20">
        <v>26</v>
      </c>
      <c r="B40" s="29" t="s">
        <v>10</v>
      </c>
      <c r="C40" s="22">
        <v>3667</v>
      </c>
      <c r="D40" s="22">
        <v>3272</v>
      </c>
      <c r="E40" s="23">
        <v>0.318</v>
      </c>
      <c r="F40" s="23">
        <v>4.7972000000000001</v>
      </c>
      <c r="G40" s="27">
        <v>3608</v>
      </c>
      <c r="H40" s="27">
        <v>3497</v>
      </c>
      <c r="I40" s="23">
        <v>0.49299999999999999</v>
      </c>
      <c r="J40" s="23">
        <v>6.7683999999999997</v>
      </c>
      <c r="K40" s="22">
        <v>3699</v>
      </c>
      <c r="L40" s="22">
        <v>3112</v>
      </c>
      <c r="M40" s="23">
        <v>0.55889999999999995</v>
      </c>
      <c r="N40" s="23">
        <v>4.6715</v>
      </c>
    </row>
    <row r="41" spans="1:14" s="24" customFormat="1" ht="18" customHeight="1" x14ac:dyDescent="0.25">
      <c r="A41" s="20">
        <v>27</v>
      </c>
      <c r="B41" s="25" t="s">
        <v>58</v>
      </c>
      <c r="C41" s="22">
        <v>1306</v>
      </c>
      <c r="D41" s="22">
        <v>2649</v>
      </c>
      <c r="E41" s="23">
        <v>77.161000000000001</v>
      </c>
      <c r="F41" s="23">
        <v>181.78200000000001</v>
      </c>
      <c r="G41" s="22">
        <v>2227</v>
      </c>
      <c r="H41" s="22">
        <v>2982</v>
      </c>
      <c r="I41" s="23">
        <v>107.35</v>
      </c>
      <c r="J41" s="23">
        <v>279.983</v>
      </c>
      <c r="K41" s="22">
        <v>2678</v>
      </c>
      <c r="L41" s="22">
        <v>3029</v>
      </c>
      <c r="M41" s="23">
        <v>44.628999999999998</v>
      </c>
      <c r="N41" s="23">
        <v>324.84100000000001</v>
      </c>
    </row>
    <row r="42" spans="1:14" s="24" customFormat="1" ht="18" customHeight="1" x14ac:dyDescent="0.25">
      <c r="A42" s="20">
        <v>28</v>
      </c>
      <c r="B42" s="21" t="s">
        <v>37</v>
      </c>
      <c r="C42" s="22">
        <v>177134</v>
      </c>
      <c r="D42" s="22">
        <v>235144</v>
      </c>
      <c r="E42" s="23">
        <v>5263.4763900000007</v>
      </c>
      <c r="F42" s="23">
        <v>10656.383977</v>
      </c>
      <c r="G42" s="22">
        <v>224066</v>
      </c>
      <c r="H42" s="22">
        <v>253556</v>
      </c>
      <c r="I42" s="23">
        <v>5252.1544830000003</v>
      </c>
      <c r="J42" s="23">
        <v>11441.606516999998</v>
      </c>
      <c r="K42" s="22">
        <v>252963</v>
      </c>
      <c r="L42" s="22">
        <v>204783</v>
      </c>
      <c r="M42" s="23">
        <v>5314.3548060000003</v>
      </c>
      <c r="N42" s="23">
        <v>10595.978067</v>
      </c>
    </row>
    <row r="43" spans="1:14" s="24" customFormat="1" ht="18" customHeight="1" x14ac:dyDescent="0.25">
      <c r="A43" s="20">
        <v>29</v>
      </c>
      <c r="B43" s="21" t="s">
        <v>38</v>
      </c>
      <c r="C43" s="22">
        <v>16518</v>
      </c>
      <c r="D43" s="22">
        <v>21653</v>
      </c>
      <c r="E43" s="23">
        <v>107.66</v>
      </c>
      <c r="F43" s="23">
        <v>1112.2940000000001</v>
      </c>
      <c r="G43" s="22">
        <v>15293</v>
      </c>
      <c r="H43" s="22">
        <v>20008</v>
      </c>
      <c r="I43" s="23">
        <v>148.49299999999999</v>
      </c>
      <c r="J43" s="23">
        <v>1230.403</v>
      </c>
      <c r="K43" s="22">
        <v>9348</v>
      </c>
      <c r="L43" s="22">
        <v>8514</v>
      </c>
      <c r="M43" s="23">
        <v>10.59</v>
      </c>
      <c r="N43" s="23">
        <v>361.59699999999998</v>
      </c>
    </row>
    <row r="44" spans="1:14" s="24" customFormat="1" ht="18" customHeight="1" x14ac:dyDescent="0.25">
      <c r="A44" s="20">
        <v>30</v>
      </c>
      <c r="B44" s="21" t="s">
        <v>91</v>
      </c>
      <c r="C44" s="22">
        <v>55736</v>
      </c>
      <c r="D44" s="22">
        <v>63257</v>
      </c>
      <c r="E44" s="23">
        <v>853.87199999999996</v>
      </c>
      <c r="F44" s="23">
        <v>1715.4110000000001</v>
      </c>
      <c r="G44" s="22">
        <v>70471</v>
      </c>
      <c r="H44" s="22">
        <v>72372</v>
      </c>
      <c r="I44" s="23">
        <v>913.36500000000001</v>
      </c>
      <c r="J44" s="23">
        <v>2184.3760000000002</v>
      </c>
      <c r="K44" s="22">
        <v>75310</v>
      </c>
      <c r="L44" s="22">
        <v>63185</v>
      </c>
      <c r="M44" s="26">
        <v>964.46469999999999</v>
      </c>
      <c r="N44" s="26">
        <v>2443.2199999999998</v>
      </c>
    </row>
    <row r="45" spans="1:14" s="24" customFormat="1" ht="18" customHeight="1" x14ac:dyDescent="0.25">
      <c r="A45" s="20">
        <v>31</v>
      </c>
      <c r="B45" s="21" t="s">
        <v>11</v>
      </c>
      <c r="C45" s="22">
        <v>0</v>
      </c>
      <c r="D45" s="22">
        <v>0</v>
      </c>
      <c r="E45" s="23">
        <v>1231.2529999999999</v>
      </c>
      <c r="F45" s="23">
        <v>2732.0810000000001</v>
      </c>
      <c r="G45" s="22">
        <v>0</v>
      </c>
      <c r="H45" s="22">
        <v>0</v>
      </c>
      <c r="I45" s="23">
        <v>1177.837</v>
      </c>
      <c r="J45" s="23">
        <v>2445.2139999999999</v>
      </c>
      <c r="K45" s="22">
        <v>0</v>
      </c>
      <c r="L45" s="22">
        <v>0</v>
      </c>
      <c r="M45" s="26">
        <v>1118.971</v>
      </c>
      <c r="N45" s="26">
        <v>2148.0830000000001</v>
      </c>
    </row>
    <row r="46" spans="1:14" s="24" customFormat="1" ht="18" customHeight="1" x14ac:dyDescent="0.25">
      <c r="A46" s="20">
        <v>32</v>
      </c>
      <c r="B46" s="21" t="s">
        <v>64</v>
      </c>
      <c r="C46" s="22">
        <v>4211</v>
      </c>
      <c r="D46" s="22">
        <v>7262</v>
      </c>
      <c r="E46" s="23">
        <v>207.01900000000001</v>
      </c>
      <c r="F46" s="23">
        <v>383.05</v>
      </c>
      <c r="G46" s="22">
        <v>3657</v>
      </c>
      <c r="H46" s="22">
        <v>6049</v>
      </c>
      <c r="I46" s="23">
        <v>158.49</v>
      </c>
      <c r="J46" s="23">
        <v>496.59100000000001</v>
      </c>
      <c r="K46" s="22">
        <v>6389</v>
      </c>
      <c r="L46" s="22">
        <v>4733</v>
      </c>
      <c r="M46" s="26">
        <v>159.53899999999999</v>
      </c>
      <c r="N46" s="26">
        <v>580.53200000000004</v>
      </c>
    </row>
    <row r="47" spans="1:14" s="24" customFormat="1" ht="18" customHeight="1" x14ac:dyDescent="0.25">
      <c r="A47" s="20">
        <v>33</v>
      </c>
      <c r="B47" s="21" t="s">
        <v>96</v>
      </c>
      <c r="C47" s="22">
        <v>303</v>
      </c>
      <c r="D47" s="22">
        <v>172</v>
      </c>
      <c r="E47" s="23">
        <v>0</v>
      </c>
      <c r="F47" s="23">
        <v>0</v>
      </c>
      <c r="G47" s="22">
        <v>1341</v>
      </c>
      <c r="H47" s="22">
        <v>1741</v>
      </c>
      <c r="I47" s="23">
        <v>0</v>
      </c>
      <c r="J47" s="23">
        <v>0</v>
      </c>
      <c r="K47" s="22">
        <v>1684</v>
      </c>
      <c r="L47" s="22">
        <v>1594</v>
      </c>
      <c r="M47" s="26">
        <v>0</v>
      </c>
      <c r="N47" s="26">
        <v>0</v>
      </c>
    </row>
    <row r="48" spans="1:14" s="24" customFormat="1" ht="18" customHeight="1" x14ac:dyDescent="0.25">
      <c r="A48" s="20">
        <v>34</v>
      </c>
      <c r="B48" s="21" t="s">
        <v>52</v>
      </c>
      <c r="C48" s="22">
        <v>19100</v>
      </c>
      <c r="D48" s="22">
        <v>20520</v>
      </c>
      <c r="E48" s="23">
        <v>11.804</v>
      </c>
      <c r="F48" s="23">
        <v>163.98099999999999</v>
      </c>
      <c r="G48" s="22">
        <v>20175</v>
      </c>
      <c r="H48" s="22">
        <v>22072</v>
      </c>
      <c r="I48" s="23">
        <v>12.871</v>
      </c>
      <c r="J48" s="23">
        <v>168.32499999999999</v>
      </c>
      <c r="K48" s="22">
        <v>21379</v>
      </c>
      <c r="L48" s="22">
        <v>14590</v>
      </c>
      <c r="M48" s="26">
        <v>15.653</v>
      </c>
      <c r="N48" s="26">
        <v>228.91200000000001</v>
      </c>
    </row>
    <row r="49" spans="1:14" s="24" customFormat="1" ht="18" customHeight="1" x14ac:dyDescent="0.25">
      <c r="A49" s="20">
        <v>35</v>
      </c>
      <c r="B49" s="21" t="s">
        <v>65</v>
      </c>
      <c r="C49" s="22">
        <v>12402</v>
      </c>
      <c r="D49" s="22">
        <v>14194</v>
      </c>
      <c r="E49" s="23">
        <v>27.652999999999999</v>
      </c>
      <c r="F49" s="23">
        <v>145.62200000000001</v>
      </c>
      <c r="G49" s="22">
        <v>15815</v>
      </c>
      <c r="H49" s="22">
        <v>20259</v>
      </c>
      <c r="I49" s="23">
        <v>49.55</v>
      </c>
      <c r="J49" s="23">
        <v>155.125</v>
      </c>
      <c r="K49" s="22">
        <v>21031</v>
      </c>
      <c r="L49" s="22">
        <v>15390</v>
      </c>
      <c r="M49" s="26">
        <v>51.414000000000001</v>
      </c>
      <c r="N49" s="26">
        <v>196.62299999999999</v>
      </c>
    </row>
    <row r="50" spans="1:14" s="24" customFormat="1" ht="18" customHeight="1" x14ac:dyDescent="0.25">
      <c r="A50" s="20">
        <v>36</v>
      </c>
      <c r="B50" s="21" t="s">
        <v>39</v>
      </c>
      <c r="C50" s="22">
        <v>37095</v>
      </c>
      <c r="D50" s="22">
        <v>45828</v>
      </c>
      <c r="E50" s="23">
        <v>37.798000000000002</v>
      </c>
      <c r="F50" s="23">
        <v>482.06700000000001</v>
      </c>
      <c r="G50" s="22">
        <v>41551</v>
      </c>
      <c r="H50" s="22">
        <v>50474</v>
      </c>
      <c r="I50" s="23">
        <v>40.103999999999999</v>
      </c>
      <c r="J50" s="23">
        <v>564.99400000000003</v>
      </c>
      <c r="K50" s="22">
        <v>52491</v>
      </c>
      <c r="L50" s="22">
        <v>38657</v>
      </c>
      <c r="M50" s="26">
        <v>15.225</v>
      </c>
      <c r="N50" s="26">
        <v>581.46600000000001</v>
      </c>
    </row>
    <row r="51" spans="1:14" s="24" customFormat="1" ht="18" customHeight="1" x14ac:dyDescent="0.25">
      <c r="A51" s="20">
        <v>37</v>
      </c>
      <c r="B51" s="21" t="s">
        <v>97</v>
      </c>
      <c r="C51" s="22">
        <v>127</v>
      </c>
      <c r="D51" s="22">
        <v>299</v>
      </c>
      <c r="E51" s="23">
        <v>2.83</v>
      </c>
      <c r="F51" s="23">
        <v>1.1719999999999999</v>
      </c>
      <c r="G51" s="22">
        <v>253</v>
      </c>
      <c r="H51" s="22">
        <v>470</v>
      </c>
      <c r="I51" s="23">
        <v>0.09</v>
      </c>
      <c r="J51" s="23">
        <v>0.55600000000000005</v>
      </c>
      <c r="K51" s="22">
        <v>602</v>
      </c>
      <c r="L51" s="22">
        <v>204</v>
      </c>
      <c r="M51" s="26">
        <v>5.2160000000000002</v>
      </c>
      <c r="N51" s="26">
        <v>0.29399999999999998</v>
      </c>
    </row>
    <row r="52" spans="1:14" s="24" customFormat="1" ht="18" customHeight="1" x14ac:dyDescent="0.25">
      <c r="A52" s="20">
        <v>38</v>
      </c>
      <c r="B52" s="21" t="s">
        <v>12</v>
      </c>
      <c r="C52" s="22">
        <v>1515</v>
      </c>
      <c r="D52" s="22">
        <v>1713</v>
      </c>
      <c r="E52" s="23">
        <v>0</v>
      </c>
      <c r="F52" s="23">
        <v>1.5</v>
      </c>
      <c r="G52" s="22">
        <v>1935</v>
      </c>
      <c r="H52" s="22">
        <v>1745</v>
      </c>
      <c r="I52" s="23">
        <v>0</v>
      </c>
      <c r="J52" s="23">
        <v>1</v>
      </c>
      <c r="K52" s="22">
        <v>1884</v>
      </c>
      <c r="L52" s="22">
        <v>1719</v>
      </c>
      <c r="M52" s="26">
        <v>0</v>
      </c>
      <c r="N52" s="26">
        <v>0.8</v>
      </c>
    </row>
    <row r="53" spans="1:14" s="24" customFormat="1" ht="18" customHeight="1" x14ac:dyDescent="0.25">
      <c r="A53" s="20">
        <v>39</v>
      </c>
      <c r="B53" s="21" t="s">
        <v>13</v>
      </c>
      <c r="C53" s="22">
        <v>3080</v>
      </c>
      <c r="D53" s="22">
        <v>2482</v>
      </c>
      <c r="E53" s="23">
        <v>5.2999999999999999E-2</v>
      </c>
      <c r="F53" s="23">
        <v>87.570999999999998</v>
      </c>
      <c r="G53" s="22">
        <v>4574</v>
      </c>
      <c r="H53" s="22">
        <v>3851</v>
      </c>
      <c r="I53" s="23">
        <v>0.219</v>
      </c>
      <c r="J53" s="23">
        <v>64.483000000000004</v>
      </c>
      <c r="K53" s="22">
        <v>5756</v>
      </c>
      <c r="L53" s="22">
        <v>3994</v>
      </c>
      <c r="M53" s="26">
        <v>0.55600000000000005</v>
      </c>
      <c r="N53" s="26">
        <v>73.632999999999996</v>
      </c>
    </row>
    <row r="54" spans="1:14" s="24" customFormat="1" ht="18" customHeight="1" x14ac:dyDescent="0.25">
      <c r="A54" s="20">
        <v>40</v>
      </c>
      <c r="B54" s="21" t="s">
        <v>14</v>
      </c>
      <c r="C54" s="22">
        <v>3790</v>
      </c>
      <c r="D54" s="22">
        <v>6077</v>
      </c>
      <c r="E54" s="23">
        <v>365.34399999999999</v>
      </c>
      <c r="F54" s="23">
        <v>281.08100000000002</v>
      </c>
      <c r="G54" s="22">
        <v>2812</v>
      </c>
      <c r="H54" s="22">
        <v>6221</v>
      </c>
      <c r="I54" s="23">
        <v>404.37400000000002</v>
      </c>
      <c r="J54" s="23">
        <v>251.35900000000001</v>
      </c>
      <c r="K54" s="22">
        <v>4212</v>
      </c>
      <c r="L54" s="22">
        <v>5214</v>
      </c>
      <c r="M54" s="26">
        <v>468.48599999999999</v>
      </c>
      <c r="N54" s="26">
        <v>215.614</v>
      </c>
    </row>
    <row r="55" spans="1:14" s="24" customFormat="1" ht="18" customHeight="1" x14ac:dyDescent="0.25">
      <c r="A55" s="20">
        <v>41</v>
      </c>
      <c r="B55" s="21" t="s">
        <v>57</v>
      </c>
      <c r="C55" s="22">
        <v>14638</v>
      </c>
      <c r="D55" s="22">
        <v>14723</v>
      </c>
      <c r="E55" s="23">
        <v>34.609300000000005</v>
      </c>
      <c r="F55" s="23">
        <v>251.93983</v>
      </c>
      <c r="G55" s="22">
        <v>18481</v>
      </c>
      <c r="H55" s="22">
        <v>18633</v>
      </c>
      <c r="I55" s="23">
        <v>34.222000000000001</v>
      </c>
      <c r="J55" s="23">
        <v>255.21682999999999</v>
      </c>
      <c r="K55" s="22">
        <v>16254</v>
      </c>
      <c r="L55" s="22">
        <v>9209</v>
      </c>
      <c r="M55" s="23">
        <v>13.824999999999999</v>
      </c>
      <c r="N55" s="23">
        <v>217.31700000000001</v>
      </c>
    </row>
    <row r="56" spans="1:14" s="24" customFormat="1" ht="18" customHeight="1" x14ac:dyDescent="0.25">
      <c r="A56" s="20">
        <v>42</v>
      </c>
      <c r="B56" s="21" t="s">
        <v>15</v>
      </c>
      <c r="C56" s="22">
        <v>7084</v>
      </c>
      <c r="D56" s="22">
        <v>6858</v>
      </c>
      <c r="E56" s="23">
        <v>0.06</v>
      </c>
      <c r="F56" s="23">
        <v>0.16</v>
      </c>
      <c r="G56" s="22">
        <v>6780</v>
      </c>
      <c r="H56" s="22">
        <v>8243</v>
      </c>
      <c r="I56" s="23">
        <v>2.1680000000000001</v>
      </c>
      <c r="J56" s="23">
        <v>4.4580000000000002</v>
      </c>
      <c r="K56" s="22">
        <v>8010</v>
      </c>
      <c r="L56" s="22">
        <v>7524</v>
      </c>
      <c r="M56" s="23">
        <v>1.494</v>
      </c>
      <c r="N56" s="23">
        <v>31.858000000000001</v>
      </c>
    </row>
    <row r="57" spans="1:14" s="24" customFormat="1" ht="18" customHeight="1" x14ac:dyDescent="0.25">
      <c r="A57" s="20">
        <v>43</v>
      </c>
      <c r="B57" s="21" t="s">
        <v>44</v>
      </c>
      <c r="C57" s="22">
        <v>15099</v>
      </c>
      <c r="D57" s="22">
        <v>22030</v>
      </c>
      <c r="E57" s="23">
        <v>783.22400000000005</v>
      </c>
      <c r="F57" s="23">
        <v>942.01900000000001</v>
      </c>
      <c r="G57" s="22">
        <v>22094</v>
      </c>
      <c r="H57" s="22">
        <v>24404</v>
      </c>
      <c r="I57" s="23">
        <v>730.73900000000003</v>
      </c>
      <c r="J57" s="23">
        <v>987.36699999999996</v>
      </c>
      <c r="K57" s="22">
        <v>22320</v>
      </c>
      <c r="L57" s="22">
        <v>22636</v>
      </c>
      <c r="M57" s="23">
        <v>698.06100000000004</v>
      </c>
      <c r="N57" s="23">
        <v>944.14200000000005</v>
      </c>
    </row>
    <row r="58" spans="1:14" s="24" customFormat="1" ht="18" customHeight="1" x14ac:dyDescent="0.25">
      <c r="A58" s="20">
        <v>44</v>
      </c>
      <c r="B58" s="21" t="s">
        <v>16</v>
      </c>
      <c r="C58" s="22">
        <v>1643</v>
      </c>
      <c r="D58" s="22">
        <v>3252</v>
      </c>
      <c r="E58" s="23">
        <v>371.41699999999997</v>
      </c>
      <c r="F58" s="23">
        <v>449.46499999999997</v>
      </c>
      <c r="G58" s="22">
        <v>1878</v>
      </c>
      <c r="H58" s="22">
        <v>4463</v>
      </c>
      <c r="I58" s="23">
        <v>411.26499999999999</v>
      </c>
      <c r="J58" s="23">
        <v>483.01600000000002</v>
      </c>
      <c r="K58" s="22">
        <v>2017</v>
      </c>
      <c r="L58" s="22">
        <v>3203</v>
      </c>
      <c r="M58" s="23">
        <v>500.17399999999998</v>
      </c>
      <c r="N58" s="23">
        <v>552.07500000000005</v>
      </c>
    </row>
    <row r="59" spans="1:14" s="24" customFormat="1" ht="18" customHeight="1" x14ac:dyDescent="0.25">
      <c r="A59" s="20">
        <v>45</v>
      </c>
      <c r="B59" s="21" t="s">
        <v>49</v>
      </c>
      <c r="C59" s="22">
        <v>18516</v>
      </c>
      <c r="D59" s="22">
        <v>24661</v>
      </c>
      <c r="E59" s="23">
        <v>0</v>
      </c>
      <c r="F59" s="23">
        <v>482.36799999999999</v>
      </c>
      <c r="G59" s="22">
        <v>19478</v>
      </c>
      <c r="H59" s="22">
        <v>24009</v>
      </c>
      <c r="I59" s="23">
        <v>0</v>
      </c>
      <c r="J59" s="23">
        <v>499.279</v>
      </c>
      <c r="K59" s="22">
        <v>30629</v>
      </c>
      <c r="L59" s="22">
        <v>22149</v>
      </c>
      <c r="M59" s="23">
        <v>0</v>
      </c>
      <c r="N59" s="23">
        <v>639.87699999999995</v>
      </c>
    </row>
    <row r="60" spans="1:14" s="24" customFormat="1" ht="18" customHeight="1" x14ac:dyDescent="0.25">
      <c r="A60" s="20">
        <v>46</v>
      </c>
      <c r="B60" s="21" t="s">
        <v>50</v>
      </c>
      <c r="C60" s="22">
        <v>2376</v>
      </c>
      <c r="D60" s="22">
        <v>5126</v>
      </c>
      <c r="E60" s="23">
        <v>44.783999999999999</v>
      </c>
      <c r="F60" s="23">
        <v>273.55200000000002</v>
      </c>
      <c r="G60" s="22">
        <v>2242</v>
      </c>
      <c r="H60" s="22">
        <v>4906</v>
      </c>
      <c r="I60" s="23">
        <v>51.005000000000003</v>
      </c>
      <c r="J60" s="23">
        <v>283.76</v>
      </c>
      <c r="K60" s="22">
        <v>3694</v>
      </c>
      <c r="L60" s="22">
        <v>4900</v>
      </c>
      <c r="M60" s="23">
        <v>42.585999999999999</v>
      </c>
      <c r="N60" s="23">
        <v>288.76</v>
      </c>
    </row>
    <row r="61" spans="1:14" s="24" customFormat="1" ht="18" customHeight="1" x14ac:dyDescent="0.25">
      <c r="A61" s="20">
        <v>47</v>
      </c>
      <c r="B61" s="21" t="s">
        <v>17</v>
      </c>
      <c r="C61" s="22">
        <v>29914</v>
      </c>
      <c r="D61" s="22">
        <v>49412</v>
      </c>
      <c r="E61" s="23">
        <v>2530.0810000000001</v>
      </c>
      <c r="F61" s="23">
        <v>1796.578</v>
      </c>
      <c r="G61" s="22">
        <v>39759</v>
      </c>
      <c r="H61" s="22">
        <v>47491</v>
      </c>
      <c r="I61" s="23">
        <v>2225.27</v>
      </c>
      <c r="J61" s="23">
        <v>2104.3580000000002</v>
      </c>
      <c r="K61" s="22">
        <v>46810</v>
      </c>
      <c r="L61" s="22">
        <v>48126</v>
      </c>
      <c r="M61" s="23">
        <v>2317.759</v>
      </c>
      <c r="N61" s="23">
        <v>2270.386</v>
      </c>
    </row>
    <row r="62" spans="1:14" s="24" customFormat="1" ht="18" customHeight="1" x14ac:dyDescent="0.25">
      <c r="A62" s="20">
        <v>48</v>
      </c>
      <c r="B62" s="21" t="s">
        <v>18</v>
      </c>
      <c r="C62" s="22">
        <v>1075</v>
      </c>
      <c r="D62" s="22">
        <v>1058</v>
      </c>
      <c r="E62" s="23">
        <v>4.55</v>
      </c>
      <c r="F62" s="23">
        <v>76.923600000000008</v>
      </c>
      <c r="G62" s="22">
        <v>1048</v>
      </c>
      <c r="H62" s="22">
        <v>1159</v>
      </c>
      <c r="I62" s="23">
        <v>9.8659999999999997</v>
      </c>
      <c r="J62" s="23">
        <v>44.6</v>
      </c>
      <c r="K62" s="22">
        <v>1571</v>
      </c>
      <c r="L62" s="22">
        <v>904</v>
      </c>
      <c r="M62" s="23">
        <v>11.878</v>
      </c>
      <c r="N62" s="23">
        <v>33.046999999999997</v>
      </c>
    </row>
    <row r="63" spans="1:14" s="24" customFormat="1" ht="18" customHeight="1" x14ac:dyDescent="0.25">
      <c r="A63" s="20">
        <v>49</v>
      </c>
      <c r="B63" s="21" t="s">
        <v>19</v>
      </c>
      <c r="C63" s="22">
        <v>34891</v>
      </c>
      <c r="D63" s="22">
        <v>38222</v>
      </c>
      <c r="E63" s="23">
        <v>1266.1579999999999</v>
      </c>
      <c r="F63" s="23">
        <v>1235.712</v>
      </c>
      <c r="G63" s="22">
        <v>36596</v>
      </c>
      <c r="H63" s="22">
        <v>42131</v>
      </c>
      <c r="I63" s="23">
        <v>1301.0340000000001</v>
      </c>
      <c r="J63" s="23">
        <v>1354.633</v>
      </c>
      <c r="K63" s="22">
        <v>37493</v>
      </c>
      <c r="L63" s="22">
        <v>41760</v>
      </c>
      <c r="M63" s="23">
        <v>1327.923</v>
      </c>
      <c r="N63" s="23">
        <v>1333.068</v>
      </c>
    </row>
    <row r="64" spans="1:14" s="24" customFormat="1" ht="18" customHeight="1" x14ac:dyDescent="0.25">
      <c r="A64" s="20">
        <v>50</v>
      </c>
      <c r="B64" s="21" t="s">
        <v>51</v>
      </c>
      <c r="C64" s="22">
        <v>13389</v>
      </c>
      <c r="D64" s="22">
        <v>13804</v>
      </c>
      <c r="E64" s="23">
        <v>17.053999999999998</v>
      </c>
      <c r="F64" s="23">
        <v>61.593000000000004</v>
      </c>
      <c r="G64" s="22">
        <v>15546</v>
      </c>
      <c r="H64" s="22">
        <v>17690</v>
      </c>
      <c r="I64" s="23">
        <v>12.695</v>
      </c>
      <c r="J64" s="23">
        <v>66.397999999999996</v>
      </c>
      <c r="K64" s="22">
        <v>20016</v>
      </c>
      <c r="L64" s="22">
        <v>18769</v>
      </c>
      <c r="M64" s="23">
        <v>10.663</v>
      </c>
      <c r="N64" s="23">
        <v>66.361000000000004</v>
      </c>
    </row>
    <row r="65" spans="1:14" s="24" customFormat="1" ht="18" customHeight="1" x14ac:dyDescent="0.25">
      <c r="A65" s="20">
        <v>51</v>
      </c>
      <c r="B65" s="21" t="s">
        <v>53</v>
      </c>
      <c r="C65" s="22">
        <v>1425</v>
      </c>
      <c r="D65" s="22">
        <v>1881</v>
      </c>
      <c r="E65" s="23">
        <v>0</v>
      </c>
      <c r="F65" s="23">
        <v>3.9279999999999999</v>
      </c>
      <c r="G65" s="22">
        <v>371</v>
      </c>
      <c r="H65" s="22">
        <v>482</v>
      </c>
      <c r="I65" s="23">
        <v>0.182</v>
      </c>
      <c r="J65" s="23">
        <v>7.8280000000000003</v>
      </c>
      <c r="K65" s="22">
        <v>810</v>
      </c>
      <c r="L65" s="22">
        <v>627</v>
      </c>
      <c r="M65" s="23">
        <v>0</v>
      </c>
      <c r="N65" s="23">
        <v>11.913</v>
      </c>
    </row>
    <row r="66" spans="1:14" s="24" customFormat="1" ht="18" customHeight="1" x14ac:dyDescent="0.25">
      <c r="A66" s="20">
        <v>52</v>
      </c>
      <c r="B66" s="21" t="s">
        <v>93</v>
      </c>
      <c r="C66" s="22">
        <v>1259</v>
      </c>
      <c r="D66" s="22">
        <v>2790</v>
      </c>
      <c r="E66" s="23">
        <v>0</v>
      </c>
      <c r="F66" s="23">
        <v>0</v>
      </c>
      <c r="G66" s="22">
        <v>1592</v>
      </c>
      <c r="H66" s="22">
        <v>4410</v>
      </c>
      <c r="I66" s="23">
        <v>0</v>
      </c>
      <c r="J66" s="23">
        <v>0</v>
      </c>
      <c r="K66" s="22">
        <v>2905</v>
      </c>
      <c r="L66" s="22">
        <v>4050</v>
      </c>
      <c r="M66" s="23">
        <v>0</v>
      </c>
      <c r="N66" s="23">
        <v>0</v>
      </c>
    </row>
    <row r="67" spans="1:14" s="24" customFormat="1" ht="18" customHeight="1" x14ac:dyDescent="0.25">
      <c r="A67" s="20">
        <v>53</v>
      </c>
      <c r="B67" s="21" t="s">
        <v>54</v>
      </c>
      <c r="C67" s="22">
        <v>12243</v>
      </c>
      <c r="D67" s="22">
        <v>10091</v>
      </c>
      <c r="E67" s="23">
        <v>76.001000000000005</v>
      </c>
      <c r="F67" s="23">
        <v>12.25</v>
      </c>
      <c r="G67" s="22">
        <v>13218</v>
      </c>
      <c r="H67" s="22">
        <v>10285</v>
      </c>
      <c r="I67" s="23">
        <v>66.631</v>
      </c>
      <c r="J67" s="23">
        <v>11.574</v>
      </c>
      <c r="K67" s="22">
        <v>13004</v>
      </c>
      <c r="L67" s="22">
        <v>9116</v>
      </c>
      <c r="M67" s="23">
        <v>53.078000000000003</v>
      </c>
      <c r="N67" s="23">
        <v>16.0595</v>
      </c>
    </row>
    <row r="68" spans="1:14" s="24" customFormat="1" ht="18" customHeight="1" x14ac:dyDescent="0.25">
      <c r="A68" s="20">
        <v>54</v>
      </c>
      <c r="B68" s="21" t="s">
        <v>74</v>
      </c>
      <c r="C68" s="22">
        <v>1653</v>
      </c>
      <c r="D68" s="22">
        <v>1713</v>
      </c>
      <c r="E68" s="23">
        <v>0</v>
      </c>
      <c r="F68" s="23">
        <v>0</v>
      </c>
      <c r="G68" s="22">
        <v>1573</v>
      </c>
      <c r="H68" s="22">
        <v>2098</v>
      </c>
      <c r="I68" s="23">
        <v>0</v>
      </c>
      <c r="J68" s="23">
        <v>0</v>
      </c>
      <c r="K68" s="22">
        <v>1703</v>
      </c>
      <c r="L68" s="22">
        <v>1745</v>
      </c>
      <c r="M68" s="23">
        <v>0</v>
      </c>
      <c r="N68" s="23">
        <v>0</v>
      </c>
    </row>
    <row r="69" spans="1:14" s="24" customFormat="1" ht="18" customHeight="1" x14ac:dyDescent="0.25">
      <c r="A69" s="20">
        <v>55</v>
      </c>
      <c r="B69" s="21" t="s">
        <v>20</v>
      </c>
      <c r="C69" s="22">
        <v>39376</v>
      </c>
      <c r="D69" s="22">
        <v>51912</v>
      </c>
      <c r="E69" s="23">
        <v>361.98045999999994</v>
      </c>
      <c r="F69" s="23">
        <v>1355.86518</v>
      </c>
      <c r="G69" s="22">
        <v>55431</v>
      </c>
      <c r="H69" s="22">
        <v>58139</v>
      </c>
      <c r="I69" s="23">
        <v>492.07769999999994</v>
      </c>
      <c r="J69" s="23">
        <v>1325.18587</v>
      </c>
      <c r="K69" s="22">
        <v>68648</v>
      </c>
      <c r="L69" s="22">
        <v>43926</v>
      </c>
      <c r="M69" s="23">
        <v>545.79969999999992</v>
      </c>
      <c r="N69" s="23">
        <v>1345.3095000000001</v>
      </c>
    </row>
    <row r="70" spans="1:14" s="24" customFormat="1" ht="18" customHeight="1" x14ac:dyDescent="0.25">
      <c r="A70" s="20">
        <v>56</v>
      </c>
      <c r="B70" s="21" t="s">
        <v>75</v>
      </c>
      <c r="C70" s="22">
        <v>3511</v>
      </c>
      <c r="D70" s="22">
        <v>3420</v>
      </c>
      <c r="E70" s="23">
        <v>1.8260000000000001</v>
      </c>
      <c r="F70" s="23">
        <v>33.601999999999997</v>
      </c>
      <c r="G70" s="22">
        <v>2846</v>
      </c>
      <c r="H70" s="22">
        <v>1992</v>
      </c>
      <c r="I70" s="23">
        <v>1.518</v>
      </c>
      <c r="J70" s="23">
        <v>41.74</v>
      </c>
      <c r="K70" s="22">
        <v>2859</v>
      </c>
      <c r="L70" s="22">
        <v>2796</v>
      </c>
      <c r="M70" s="23">
        <v>5.5E-2</v>
      </c>
      <c r="N70" s="23">
        <v>39.942999999999998</v>
      </c>
    </row>
    <row r="71" spans="1:14" s="24" customFormat="1" ht="18" customHeight="1" x14ac:dyDescent="0.25">
      <c r="A71" s="20">
        <v>57</v>
      </c>
      <c r="B71" s="21" t="s">
        <v>21</v>
      </c>
      <c r="C71" s="22">
        <v>75605</v>
      </c>
      <c r="D71" s="22">
        <v>84410</v>
      </c>
      <c r="E71" s="23">
        <v>5594.3029999999999</v>
      </c>
      <c r="F71" s="23">
        <v>9223.241</v>
      </c>
      <c r="G71" s="22">
        <v>81362</v>
      </c>
      <c r="H71" s="22">
        <v>89992</v>
      </c>
      <c r="I71" s="23">
        <v>5313.1130000000003</v>
      </c>
      <c r="J71" s="23">
        <v>9746.0190000000002</v>
      </c>
      <c r="K71" s="22">
        <v>94006</v>
      </c>
      <c r="L71" s="22">
        <v>76643</v>
      </c>
      <c r="M71" s="23">
        <v>5517.8530000000001</v>
      </c>
      <c r="N71" s="23">
        <v>9389.5580000000009</v>
      </c>
    </row>
    <row r="72" spans="1:14" s="24" customFormat="1" ht="18" customHeight="1" x14ac:dyDescent="0.25">
      <c r="A72" s="20">
        <v>58</v>
      </c>
      <c r="B72" s="21" t="s">
        <v>55</v>
      </c>
      <c r="C72" s="22">
        <v>519</v>
      </c>
      <c r="D72" s="22">
        <v>676</v>
      </c>
      <c r="E72" s="23">
        <v>0</v>
      </c>
      <c r="F72" s="23">
        <v>21.350999999999999</v>
      </c>
      <c r="G72" s="22">
        <v>452</v>
      </c>
      <c r="H72" s="22">
        <v>720</v>
      </c>
      <c r="I72" s="23">
        <v>0</v>
      </c>
      <c r="J72" s="23">
        <v>12.731</v>
      </c>
      <c r="K72" s="22">
        <v>952</v>
      </c>
      <c r="L72" s="22">
        <v>662</v>
      </c>
      <c r="M72" s="23">
        <v>0</v>
      </c>
      <c r="N72" s="23">
        <v>18.3</v>
      </c>
    </row>
    <row r="73" spans="1:14" s="24" customFormat="1" ht="18" customHeight="1" x14ac:dyDescent="0.25">
      <c r="A73" s="20">
        <v>59</v>
      </c>
      <c r="B73" s="21" t="s">
        <v>76</v>
      </c>
      <c r="C73" s="22">
        <v>11538</v>
      </c>
      <c r="D73" s="22">
        <v>12164</v>
      </c>
      <c r="E73" s="23">
        <v>0</v>
      </c>
      <c r="F73" s="23">
        <v>0</v>
      </c>
      <c r="G73" s="22">
        <v>13641</v>
      </c>
      <c r="H73" s="22">
        <v>13263</v>
      </c>
      <c r="I73" s="23">
        <v>0</v>
      </c>
      <c r="J73" s="23">
        <v>0</v>
      </c>
      <c r="K73" s="22">
        <v>15959</v>
      </c>
      <c r="L73" s="22">
        <v>10310</v>
      </c>
      <c r="M73" s="23">
        <v>0</v>
      </c>
      <c r="N73" s="23">
        <v>0</v>
      </c>
    </row>
    <row r="74" spans="1:14" s="24" customFormat="1" ht="18" customHeight="1" x14ac:dyDescent="0.25">
      <c r="A74" s="20">
        <v>60</v>
      </c>
      <c r="B74" s="21" t="s">
        <v>77</v>
      </c>
      <c r="C74" s="22">
        <v>50026</v>
      </c>
      <c r="D74" s="22">
        <v>48664</v>
      </c>
      <c r="E74" s="23">
        <v>281.70999999999998</v>
      </c>
      <c r="F74" s="23">
        <v>2072.761</v>
      </c>
      <c r="G74" s="22">
        <v>47202</v>
      </c>
      <c r="H74" s="22">
        <v>44478</v>
      </c>
      <c r="I74" s="23">
        <v>206.49439999999998</v>
      </c>
      <c r="J74" s="23">
        <v>1586.954</v>
      </c>
      <c r="K74" s="22">
        <v>50278</v>
      </c>
      <c r="L74" s="22">
        <v>25269</v>
      </c>
      <c r="M74" s="23">
        <v>233.73679999999999</v>
      </c>
      <c r="N74" s="23">
        <v>1458.3389999999999</v>
      </c>
    </row>
    <row r="75" spans="1:14" s="24" customFormat="1" ht="18" customHeight="1" x14ac:dyDescent="0.25">
      <c r="A75" s="20">
        <v>61</v>
      </c>
      <c r="B75" s="21" t="s">
        <v>92</v>
      </c>
      <c r="C75" s="22">
        <v>37</v>
      </c>
      <c r="D75" s="22">
        <v>367</v>
      </c>
      <c r="E75" s="23">
        <v>0</v>
      </c>
      <c r="F75" s="23">
        <v>0</v>
      </c>
      <c r="G75" s="22">
        <v>0</v>
      </c>
      <c r="H75" s="22">
        <v>0</v>
      </c>
      <c r="I75" s="23">
        <v>0</v>
      </c>
      <c r="J75" s="23">
        <v>0</v>
      </c>
      <c r="K75" s="22">
        <v>0</v>
      </c>
      <c r="L75" s="22">
        <v>0</v>
      </c>
      <c r="M75" s="23">
        <v>0</v>
      </c>
      <c r="N75" s="23">
        <v>0</v>
      </c>
    </row>
    <row r="76" spans="1:14" s="24" customFormat="1" ht="18" customHeight="1" x14ac:dyDescent="0.25">
      <c r="A76" s="20">
        <v>62</v>
      </c>
      <c r="B76" s="21" t="s">
        <v>66</v>
      </c>
      <c r="C76" s="22">
        <v>32157</v>
      </c>
      <c r="D76" s="22">
        <v>38618</v>
      </c>
      <c r="E76" s="23">
        <v>1.8140000000000001</v>
      </c>
      <c r="F76" s="23">
        <v>133.43950000000001</v>
      </c>
      <c r="G76" s="22">
        <v>38576</v>
      </c>
      <c r="H76" s="22">
        <v>40335</v>
      </c>
      <c r="I76" s="23">
        <v>0.498</v>
      </c>
      <c r="J76" s="23">
        <v>116.76300000000001</v>
      </c>
      <c r="K76" s="22">
        <v>40094</v>
      </c>
      <c r="L76" s="22">
        <v>39966</v>
      </c>
      <c r="M76" s="23">
        <v>4.3403999999999998</v>
      </c>
      <c r="N76" s="23">
        <v>124.88020000000002</v>
      </c>
    </row>
    <row r="77" spans="1:14" s="24" customFormat="1" ht="18" customHeight="1" x14ac:dyDescent="0.25">
      <c r="A77" s="20">
        <v>63</v>
      </c>
      <c r="B77" s="21" t="s">
        <v>67</v>
      </c>
      <c r="C77" s="22">
        <v>82800</v>
      </c>
      <c r="D77" s="22">
        <v>104553</v>
      </c>
      <c r="E77" s="23">
        <v>2576.837</v>
      </c>
      <c r="F77" s="23">
        <v>2809.8159999999998</v>
      </c>
      <c r="G77" s="22">
        <v>90758</v>
      </c>
      <c r="H77" s="22">
        <v>101743</v>
      </c>
      <c r="I77" s="23">
        <v>2623.8029999999999</v>
      </c>
      <c r="J77" s="23">
        <v>2688.8780000000002</v>
      </c>
      <c r="K77" s="22">
        <v>99502</v>
      </c>
      <c r="L77" s="22">
        <v>97202</v>
      </c>
      <c r="M77" s="23">
        <v>2772.4259999999999</v>
      </c>
      <c r="N77" s="23">
        <v>2622.2159999999999</v>
      </c>
    </row>
    <row r="78" spans="1:14" s="24" customFormat="1" ht="18" customHeight="1" x14ac:dyDescent="0.25">
      <c r="A78" s="20">
        <v>64</v>
      </c>
      <c r="B78" s="21" t="s">
        <v>35</v>
      </c>
      <c r="C78" s="22">
        <v>35848</v>
      </c>
      <c r="D78" s="22">
        <v>41237</v>
      </c>
      <c r="E78" s="23">
        <v>349.447</v>
      </c>
      <c r="F78" s="23">
        <v>646.04899999999998</v>
      </c>
      <c r="G78" s="22">
        <v>47592</v>
      </c>
      <c r="H78" s="22">
        <v>47359</v>
      </c>
      <c r="I78" s="23">
        <v>422.86900000000003</v>
      </c>
      <c r="J78" s="23">
        <v>784.34299999999996</v>
      </c>
      <c r="K78" s="22">
        <v>43490</v>
      </c>
      <c r="L78" s="22">
        <v>36816</v>
      </c>
      <c r="M78" s="23">
        <v>434.31</v>
      </c>
      <c r="N78" s="23">
        <v>619.82899999999995</v>
      </c>
    </row>
    <row r="79" spans="1:14" s="24" customFormat="1" ht="18" customHeight="1" x14ac:dyDescent="0.25">
      <c r="A79" s="20">
        <v>65</v>
      </c>
      <c r="B79" s="21" t="s">
        <v>40</v>
      </c>
      <c r="C79" s="22">
        <v>8471</v>
      </c>
      <c r="D79" s="22">
        <v>13108</v>
      </c>
      <c r="E79" s="23">
        <v>735.56500000000005</v>
      </c>
      <c r="F79" s="23">
        <v>742.904</v>
      </c>
      <c r="G79" s="22">
        <v>10190</v>
      </c>
      <c r="H79" s="22">
        <v>12772</v>
      </c>
      <c r="I79" s="23">
        <v>650.91499999999996</v>
      </c>
      <c r="J79" s="23">
        <v>743.96100000000001</v>
      </c>
      <c r="K79" s="22">
        <v>12367</v>
      </c>
      <c r="L79" s="22">
        <v>10268</v>
      </c>
      <c r="M79" s="23">
        <v>609.471</v>
      </c>
      <c r="N79" s="23">
        <v>812.27499999999998</v>
      </c>
    </row>
    <row r="80" spans="1:14" s="24" customFormat="1" ht="18" customHeight="1" x14ac:dyDescent="0.25">
      <c r="A80" s="20">
        <v>66</v>
      </c>
      <c r="B80" s="21" t="s">
        <v>82</v>
      </c>
      <c r="C80" s="22">
        <v>20377</v>
      </c>
      <c r="D80" s="22">
        <v>23188</v>
      </c>
      <c r="E80" s="23">
        <v>38.457999999999998</v>
      </c>
      <c r="F80" s="23">
        <v>210.47200000000001</v>
      </c>
      <c r="G80" s="22">
        <v>24156</v>
      </c>
      <c r="H80" s="22">
        <v>25837</v>
      </c>
      <c r="I80" s="23">
        <v>60.847000000000001</v>
      </c>
      <c r="J80" s="23">
        <v>182.89400000000001</v>
      </c>
      <c r="K80" s="22">
        <v>23565</v>
      </c>
      <c r="L80" s="22">
        <v>24372</v>
      </c>
      <c r="M80" s="23">
        <v>54.9</v>
      </c>
      <c r="N80" s="23">
        <v>156.60499999999999</v>
      </c>
    </row>
    <row r="81" spans="1:14" s="24" customFormat="1" ht="18" customHeight="1" x14ac:dyDescent="0.25">
      <c r="A81" s="20">
        <v>67</v>
      </c>
      <c r="B81" s="21" t="s">
        <v>45</v>
      </c>
      <c r="C81" s="22">
        <v>45091</v>
      </c>
      <c r="D81" s="22">
        <v>53855</v>
      </c>
      <c r="E81" s="23">
        <v>1911.297</v>
      </c>
      <c r="F81" s="23">
        <v>1760.508</v>
      </c>
      <c r="G81" s="22">
        <v>47620</v>
      </c>
      <c r="H81" s="22">
        <v>57161</v>
      </c>
      <c r="I81" s="23">
        <v>1488.5889999999999</v>
      </c>
      <c r="J81" s="23">
        <v>1666.922</v>
      </c>
      <c r="K81" s="22">
        <v>54523</v>
      </c>
      <c r="L81" s="22">
        <v>56656</v>
      </c>
      <c r="M81" s="23">
        <v>1814.8630000000001</v>
      </c>
      <c r="N81" s="23">
        <v>1656.828</v>
      </c>
    </row>
    <row r="82" spans="1:14" s="24" customFormat="1" ht="18" customHeight="1" x14ac:dyDescent="0.25">
      <c r="A82" s="20">
        <v>68</v>
      </c>
      <c r="B82" s="21" t="s">
        <v>83</v>
      </c>
      <c r="C82" s="22">
        <v>2507</v>
      </c>
      <c r="D82" s="22">
        <v>3092</v>
      </c>
      <c r="E82" s="23">
        <v>38.768000000000001</v>
      </c>
      <c r="F82" s="23">
        <v>10.252000000000001</v>
      </c>
      <c r="G82" s="22">
        <v>5542</v>
      </c>
      <c r="H82" s="22">
        <v>7403</v>
      </c>
      <c r="I82" s="23">
        <v>32.923999999999999</v>
      </c>
      <c r="J82" s="23">
        <v>12.545999999999999</v>
      </c>
      <c r="K82" s="22">
        <v>6749</v>
      </c>
      <c r="L82" s="22">
        <v>6501</v>
      </c>
      <c r="M82" s="23">
        <v>37.130000000000003</v>
      </c>
      <c r="N82" s="23">
        <v>9.4250000000000007</v>
      </c>
    </row>
    <row r="83" spans="1:14" s="24" customFormat="1" ht="18" customHeight="1" x14ac:dyDescent="0.25">
      <c r="A83" s="20">
        <v>69</v>
      </c>
      <c r="B83" s="21" t="s">
        <v>78</v>
      </c>
      <c r="C83" s="22">
        <v>5446</v>
      </c>
      <c r="D83" s="22">
        <v>5979</v>
      </c>
      <c r="E83" s="23">
        <v>0</v>
      </c>
      <c r="F83" s="23">
        <v>0</v>
      </c>
      <c r="G83" s="22">
        <v>8123</v>
      </c>
      <c r="H83" s="22">
        <v>8908</v>
      </c>
      <c r="I83" s="23">
        <v>13.9429</v>
      </c>
      <c r="J83" s="23">
        <v>63.85671</v>
      </c>
      <c r="K83" s="22">
        <v>8563</v>
      </c>
      <c r="L83" s="22">
        <v>7905</v>
      </c>
      <c r="M83" s="23">
        <v>12.3134</v>
      </c>
      <c r="N83" s="23">
        <v>63.58972</v>
      </c>
    </row>
    <row r="84" spans="1:14" s="24" customFormat="1" ht="18" customHeight="1" x14ac:dyDescent="0.25">
      <c r="A84" s="20">
        <v>70</v>
      </c>
      <c r="B84" s="21" t="s">
        <v>22</v>
      </c>
      <c r="C84" s="22">
        <v>15240</v>
      </c>
      <c r="D84" s="22">
        <v>21030</v>
      </c>
      <c r="E84" s="23">
        <v>1893.8043300000002</v>
      </c>
      <c r="F84" s="23">
        <v>2517.4259900000002</v>
      </c>
      <c r="G84" s="22">
        <v>17203</v>
      </c>
      <c r="H84" s="22">
        <v>18796</v>
      </c>
      <c r="I84" s="23">
        <v>2388.1039999999998</v>
      </c>
      <c r="J84" s="23">
        <v>3234.8829999999998</v>
      </c>
      <c r="K84" s="22">
        <v>19038</v>
      </c>
      <c r="L84" s="22">
        <v>19866</v>
      </c>
      <c r="M84" s="23">
        <v>2421.7909199999999</v>
      </c>
      <c r="N84" s="23">
        <v>3489.11</v>
      </c>
    </row>
    <row r="85" spans="1:14" s="24" customFormat="1" ht="18" customHeight="1" x14ac:dyDescent="0.25">
      <c r="A85" s="20">
        <v>71</v>
      </c>
      <c r="B85" s="21" t="s">
        <v>23</v>
      </c>
      <c r="C85" s="22">
        <v>5119</v>
      </c>
      <c r="D85" s="22">
        <v>6961</v>
      </c>
      <c r="E85" s="23">
        <v>62.875239999999998</v>
      </c>
      <c r="F85" s="23">
        <v>82.105350000000001</v>
      </c>
      <c r="G85" s="22">
        <v>7006</v>
      </c>
      <c r="H85" s="22">
        <v>6966</v>
      </c>
      <c r="I85" s="23">
        <v>45.744980000000005</v>
      </c>
      <c r="J85" s="23">
        <v>84.755030000000005</v>
      </c>
      <c r="K85" s="22">
        <v>6517</v>
      </c>
      <c r="L85" s="22">
        <v>6724</v>
      </c>
      <c r="M85" s="23">
        <v>54.043230000000001</v>
      </c>
      <c r="N85" s="23">
        <v>54.278100000000002</v>
      </c>
    </row>
    <row r="86" spans="1:14" s="24" customFormat="1" ht="18" customHeight="1" x14ac:dyDescent="0.25">
      <c r="A86" s="20">
        <v>72</v>
      </c>
      <c r="B86" s="21" t="s">
        <v>68</v>
      </c>
      <c r="C86" s="22">
        <v>0</v>
      </c>
      <c r="D86" s="22">
        <v>0</v>
      </c>
      <c r="E86" s="23">
        <v>1825.806</v>
      </c>
      <c r="F86" s="23">
        <v>2888.2710000000002</v>
      </c>
      <c r="G86" s="22">
        <v>0</v>
      </c>
      <c r="H86" s="22">
        <v>0</v>
      </c>
      <c r="I86" s="23">
        <v>928.42</v>
      </c>
      <c r="J86" s="23">
        <v>1320.386</v>
      </c>
      <c r="K86" s="22">
        <v>0</v>
      </c>
      <c r="L86" s="22">
        <v>0</v>
      </c>
      <c r="M86" s="23">
        <v>987.6</v>
      </c>
      <c r="N86" s="23">
        <v>1265.425</v>
      </c>
    </row>
    <row r="87" spans="1:14" s="24" customFormat="1" ht="18" customHeight="1" x14ac:dyDescent="0.25">
      <c r="A87" s="20">
        <v>73</v>
      </c>
      <c r="B87" s="21" t="s">
        <v>69</v>
      </c>
      <c r="C87" s="22">
        <v>5779</v>
      </c>
      <c r="D87" s="22">
        <v>5737</v>
      </c>
      <c r="E87" s="23">
        <v>0</v>
      </c>
      <c r="F87" s="23">
        <v>0</v>
      </c>
      <c r="G87" s="22">
        <v>5678</v>
      </c>
      <c r="H87" s="22">
        <v>6343</v>
      </c>
      <c r="I87" s="23">
        <v>0</v>
      </c>
      <c r="J87" s="23">
        <v>0</v>
      </c>
      <c r="K87" s="22">
        <v>5885</v>
      </c>
      <c r="L87" s="22">
        <v>5925</v>
      </c>
      <c r="M87" s="23">
        <v>0</v>
      </c>
      <c r="N87" s="23">
        <v>0</v>
      </c>
    </row>
    <row r="88" spans="1:14" s="24" customFormat="1" ht="18" customHeight="1" x14ac:dyDescent="0.25">
      <c r="A88" s="20">
        <v>74</v>
      </c>
      <c r="B88" s="21" t="s">
        <v>24</v>
      </c>
      <c r="C88" s="22">
        <v>3650</v>
      </c>
      <c r="D88" s="22">
        <v>5019</v>
      </c>
      <c r="E88" s="23">
        <v>15.686</v>
      </c>
      <c r="F88" s="23">
        <v>140.62299999999999</v>
      </c>
      <c r="G88" s="22">
        <v>5573</v>
      </c>
      <c r="H88" s="22">
        <v>5419</v>
      </c>
      <c r="I88" s="23">
        <v>16.183</v>
      </c>
      <c r="J88" s="23">
        <v>158.55199999999999</v>
      </c>
      <c r="K88" s="22">
        <v>5474</v>
      </c>
      <c r="L88" s="22">
        <v>3773</v>
      </c>
      <c r="M88" s="23">
        <v>11.087</v>
      </c>
      <c r="N88" s="23">
        <v>129.99100000000001</v>
      </c>
    </row>
    <row r="89" spans="1:14" s="24" customFormat="1" ht="18" customHeight="1" x14ac:dyDescent="0.25">
      <c r="A89" s="20">
        <v>75</v>
      </c>
      <c r="B89" s="21" t="s">
        <v>84</v>
      </c>
      <c r="C89" s="22">
        <v>13206</v>
      </c>
      <c r="D89" s="22">
        <v>12668</v>
      </c>
      <c r="E89" s="23">
        <v>30.875</v>
      </c>
      <c r="F89" s="23">
        <v>12.445</v>
      </c>
      <c r="G89" s="22">
        <v>16105</v>
      </c>
      <c r="H89" s="22">
        <v>15742</v>
      </c>
      <c r="I89" s="23">
        <v>69.78</v>
      </c>
      <c r="J89" s="23">
        <v>24.236999999999998</v>
      </c>
      <c r="K89" s="22">
        <v>16436</v>
      </c>
      <c r="L89" s="22">
        <v>16710</v>
      </c>
      <c r="M89" s="23">
        <v>73.718999999999994</v>
      </c>
      <c r="N89" s="23">
        <v>48.545999999999999</v>
      </c>
    </row>
    <row r="90" spans="1:14" s="24" customFormat="1" ht="18" customHeight="1" x14ac:dyDescent="0.25">
      <c r="A90" s="20">
        <v>76</v>
      </c>
      <c r="B90" s="21" t="s">
        <v>98</v>
      </c>
      <c r="C90" s="22">
        <v>3068</v>
      </c>
      <c r="D90" s="22">
        <v>2889</v>
      </c>
      <c r="E90" s="23">
        <v>21.035499999999999</v>
      </c>
      <c r="F90" s="23">
        <v>19.3614</v>
      </c>
      <c r="G90" s="22">
        <v>5226</v>
      </c>
      <c r="H90" s="22">
        <v>6197</v>
      </c>
      <c r="I90" s="23">
        <v>19.3811</v>
      </c>
      <c r="J90" s="23">
        <v>9.7822000000000013</v>
      </c>
      <c r="K90" s="22">
        <v>8913</v>
      </c>
      <c r="L90" s="22">
        <v>8398</v>
      </c>
      <c r="M90" s="23">
        <v>20.099799999999998</v>
      </c>
      <c r="N90" s="23">
        <v>49.166400000000003</v>
      </c>
    </row>
    <row r="91" spans="1:14" s="24" customFormat="1" ht="18" customHeight="1" x14ac:dyDescent="0.25">
      <c r="A91" s="20">
        <v>77</v>
      </c>
      <c r="B91" s="21" t="s">
        <v>25</v>
      </c>
      <c r="C91" s="22">
        <v>14866</v>
      </c>
      <c r="D91" s="22">
        <v>23896</v>
      </c>
      <c r="E91" s="23">
        <v>620.74199999999996</v>
      </c>
      <c r="F91" s="23">
        <v>1083.854</v>
      </c>
      <c r="G91" s="22">
        <v>21144</v>
      </c>
      <c r="H91" s="22">
        <v>25384</v>
      </c>
      <c r="I91" s="23">
        <v>570.178</v>
      </c>
      <c r="J91" s="23">
        <v>1056.5809999999999</v>
      </c>
      <c r="K91" s="22">
        <v>23144</v>
      </c>
      <c r="L91" s="22">
        <v>27085</v>
      </c>
      <c r="M91" s="23">
        <v>381.18799999999999</v>
      </c>
      <c r="N91" s="23">
        <v>1174.865</v>
      </c>
    </row>
    <row r="92" spans="1:14" s="24" customFormat="1" ht="18" customHeight="1" x14ac:dyDescent="0.25">
      <c r="A92" s="20">
        <v>78</v>
      </c>
      <c r="B92" s="21" t="s">
        <v>26</v>
      </c>
      <c r="C92" s="22">
        <v>668</v>
      </c>
      <c r="D92" s="22">
        <v>1018</v>
      </c>
      <c r="E92" s="23">
        <v>0</v>
      </c>
      <c r="F92" s="23">
        <v>8.9502000000000006</v>
      </c>
      <c r="G92" s="22">
        <v>1035</v>
      </c>
      <c r="H92" s="22">
        <v>853</v>
      </c>
      <c r="I92" s="23">
        <v>0</v>
      </c>
      <c r="J92" s="23">
        <v>12.225899999999999</v>
      </c>
      <c r="K92" s="22">
        <v>1032</v>
      </c>
      <c r="L92" s="22">
        <v>936</v>
      </c>
      <c r="M92" s="23">
        <v>0.14099999999999999</v>
      </c>
      <c r="N92" s="23">
        <v>7.6589999999999998</v>
      </c>
    </row>
    <row r="93" spans="1:14" ht="27.75" customHeight="1" x14ac:dyDescent="0.25">
      <c r="A93" s="37" t="s">
        <v>27</v>
      </c>
      <c r="B93" s="37"/>
      <c r="C93" s="15">
        <f t="shared" ref="C93:N93" si="1">SUM(C15:C92)</f>
        <v>1215995</v>
      </c>
      <c r="D93" s="15">
        <f t="shared" si="1"/>
        <v>1488728</v>
      </c>
      <c r="E93" s="16">
        <f t="shared" si="1"/>
        <v>50111.085819999978</v>
      </c>
      <c r="F93" s="16">
        <f t="shared" si="1"/>
        <v>70093.67640700005</v>
      </c>
      <c r="G93" s="15">
        <f t="shared" si="1"/>
        <v>1430922</v>
      </c>
      <c r="H93" s="15">
        <f t="shared" si="1"/>
        <v>1611012</v>
      </c>
      <c r="I93" s="16">
        <f t="shared" si="1"/>
        <v>44653.306463000015</v>
      </c>
      <c r="J93" s="16">
        <f t="shared" si="1"/>
        <v>67950.864966999987</v>
      </c>
      <c r="K93" s="15">
        <f t="shared" si="1"/>
        <v>1609245</v>
      </c>
      <c r="L93" s="15">
        <f t="shared" si="1"/>
        <v>1381831</v>
      </c>
      <c r="M93" s="16">
        <f t="shared" si="1"/>
        <v>43761.630985999996</v>
      </c>
      <c r="N93" s="16">
        <f t="shared" si="1"/>
        <v>65556.783467000045</v>
      </c>
    </row>
    <row r="94" spans="1:14" ht="41.25" customHeight="1" x14ac:dyDescent="0.25">
      <c r="A94" s="38" t="s">
        <v>28</v>
      </c>
      <c r="B94" s="38"/>
      <c r="C94" s="17">
        <f t="shared" ref="C94:N94" si="2">C13+C93</f>
        <v>2228799</v>
      </c>
      <c r="D94" s="17">
        <f t="shared" si="2"/>
        <v>2654513</v>
      </c>
      <c r="E94" s="18">
        <f t="shared" si="2"/>
        <v>54840.616529999978</v>
      </c>
      <c r="F94" s="18">
        <f t="shared" si="2"/>
        <v>81047.900047000046</v>
      </c>
      <c r="G94" s="17">
        <f t="shared" si="2"/>
        <v>2583202</v>
      </c>
      <c r="H94" s="17">
        <f t="shared" si="2"/>
        <v>2812818</v>
      </c>
      <c r="I94" s="18">
        <f t="shared" si="2"/>
        <v>48844.828413000017</v>
      </c>
      <c r="J94" s="18">
        <f t="shared" si="2"/>
        <v>79794.099076999992</v>
      </c>
      <c r="K94" s="17">
        <f t="shared" si="2"/>
        <v>2855676</v>
      </c>
      <c r="L94" s="17">
        <f t="shared" si="2"/>
        <v>2448421</v>
      </c>
      <c r="M94" s="18">
        <f t="shared" si="2"/>
        <v>48499.562635999995</v>
      </c>
      <c r="N94" s="18">
        <f t="shared" si="2"/>
        <v>77498.516957000043</v>
      </c>
    </row>
    <row r="95" spans="1:14" s="7" customFormat="1" ht="30.75" customHeight="1" x14ac:dyDescent="0.3">
      <c r="A95" s="31" t="s">
        <v>86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3"/>
    </row>
    <row r="96" spans="1:14" s="7" customFormat="1" ht="21" customHeight="1" x14ac:dyDescent="0.3">
      <c r="A96" s="30" t="s">
        <v>34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 ht="18.75" customHeight="1" x14ac:dyDescent="0.25"/>
    <row r="98" ht="18.75" customHeight="1" x14ac:dyDescent="0.25"/>
    <row r="99" ht="18.75" customHeight="1" x14ac:dyDescent="0.25"/>
  </sheetData>
  <mergeCells count="14">
    <mergeCell ref="A1:N1"/>
    <mergeCell ref="A2:N2"/>
    <mergeCell ref="A3:A4"/>
    <mergeCell ref="B3:B4"/>
    <mergeCell ref="C3:F3"/>
    <mergeCell ref="G3:J3"/>
    <mergeCell ref="K3:N3"/>
    <mergeCell ref="A96:N96"/>
    <mergeCell ref="A95:N95"/>
    <mergeCell ref="A5:N5"/>
    <mergeCell ref="A13:B13"/>
    <mergeCell ref="A14:N14"/>
    <mergeCell ref="A93:B93"/>
    <mergeCell ref="A94:B94"/>
  </mergeCells>
  <printOptions horizontalCentered="1"/>
  <pageMargins left="0" right="0" top="3.937007874015748E-2" bottom="3.937007874015748E-2" header="0.31496062992125984" footer="0.31496062992125984"/>
  <pageSetup scale="53" fitToHeight="2" orientation="landscape" r:id="rId1"/>
  <headerFooter>
    <oddFooter>Page &amp;P of &amp;N</oddFooter>
  </headerFooter>
  <rowBreaks count="1" manualBreakCount="1">
    <brk id="4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2023-08-11T09:26:23Z</dcterms:modified>
</cp:coreProperties>
</file>