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4000" windowHeight="8835"/>
  </bookViews>
  <sheets>
    <sheet name="MONTHWISE" sheetId="2" r:id="rId1"/>
  </sheets>
  <definedNames>
    <definedName name="_">#REF!</definedName>
    <definedName name="_xlnm._FilterDatabase" localSheetId="0" hidden="1">MONTHWISE!#REF!</definedName>
    <definedName name="_xlnm.Print_Area" localSheetId="0">MONTHWISE!$A$1:$N$93</definedName>
    <definedName name="Print_Area_1">#REF!</definedName>
    <definedName name="Print_Area_2">#REF!</definedName>
    <definedName name="Print_Area_3">#REF!</definedName>
    <definedName name="_xlnm.Print_Titles" localSheetId="0">MONTHWISE!$A:$B,MONTHWISE!$1:$4</definedName>
  </definedNames>
  <calcPr calcId="152511"/>
</workbook>
</file>

<file path=xl/calcChain.xml><?xml version="1.0" encoding="utf-8"?>
<calcChain xmlns="http://schemas.openxmlformats.org/spreadsheetml/2006/main">
  <c r="D13" i="2" l="1"/>
  <c r="E13" i="2"/>
  <c r="F13" i="2"/>
  <c r="G13" i="2"/>
  <c r="H13" i="2"/>
  <c r="I13" i="2"/>
  <c r="J13" i="2"/>
  <c r="K13" i="2"/>
  <c r="L13" i="2"/>
  <c r="M13" i="2"/>
  <c r="N13" i="2"/>
  <c r="C13" i="2"/>
  <c r="D90" i="2" l="1"/>
  <c r="E90" i="2"/>
  <c r="F90" i="2"/>
  <c r="G90" i="2"/>
  <c r="H90" i="2"/>
  <c r="I90" i="2"/>
  <c r="J90" i="2"/>
  <c r="K90" i="2"/>
  <c r="L90" i="2"/>
  <c r="M90" i="2"/>
  <c r="N90" i="2"/>
  <c r="C90" i="2"/>
  <c r="D91" i="2" l="1"/>
  <c r="E91" i="2"/>
  <c r="F91" i="2"/>
  <c r="G91" i="2"/>
  <c r="H91" i="2"/>
  <c r="I91" i="2"/>
  <c r="J91" i="2"/>
  <c r="K91" i="2"/>
  <c r="L91" i="2"/>
  <c r="M91" i="2"/>
  <c r="N91" i="2"/>
  <c r="C91" i="2" l="1"/>
</calcChain>
</file>

<file path=xl/sharedStrings.xml><?xml version="1.0" encoding="utf-8"?>
<sst xmlns="http://schemas.openxmlformats.org/spreadsheetml/2006/main" count="108" uniqueCount="100">
  <si>
    <t>NAME OF THE AIRLINE</t>
  </si>
  <si>
    <t>AIR INDIA</t>
  </si>
  <si>
    <t>AEROFLOT</t>
  </si>
  <si>
    <t>AEROLOGIC</t>
  </si>
  <si>
    <t>AIR ARABIA</t>
  </si>
  <si>
    <t>BIMAN BANGLADESH</t>
  </si>
  <si>
    <t>CATHAY PACIFIC</t>
  </si>
  <si>
    <t>DRUK AIR</t>
  </si>
  <si>
    <t>FEDERAL EXPRESS</t>
  </si>
  <si>
    <t>IRAQI AIRWAYS</t>
  </si>
  <si>
    <t>ISLAND AVIATION SERVICES</t>
  </si>
  <si>
    <t>JAPAN AIRLINES</t>
  </si>
  <si>
    <t>KENYA AIRWAYS</t>
  </si>
  <si>
    <t>KOREAN AIR</t>
  </si>
  <si>
    <t>LUFTHANSA</t>
  </si>
  <si>
    <t>MAHAN AIR</t>
  </si>
  <si>
    <t>MALAYSIA AIRLINES</t>
  </si>
  <si>
    <t>OMAN AIR</t>
  </si>
  <si>
    <t>QATAR AIRWAYS</t>
  </si>
  <si>
    <t>TURKISH AIRLINES</t>
  </si>
  <si>
    <t>UNITED AIRLINES</t>
  </si>
  <si>
    <t>VIRGIN ATLANTIC AIRLINES</t>
  </si>
  <si>
    <t>YEMENIA AIRWAYS</t>
  </si>
  <si>
    <t>(PASSENGERS IN NUMBER AND FREIGHT IN TONNES)</t>
  </si>
  <si>
    <t>PASSENGERS TO INDIA</t>
  </si>
  <si>
    <t>PASSENGERS FROM INDIA</t>
  </si>
  <si>
    <t>FREIGHT TO INDIA</t>
  </si>
  <si>
    <t>FREIGHT FROM INDIA</t>
  </si>
  <si>
    <t>P-Provisional</t>
  </si>
  <si>
    <t>SRILANKAN AIRWAYS</t>
  </si>
  <si>
    <t>SL. No.</t>
  </si>
  <si>
    <t>EMIRATES AIRLINE</t>
  </si>
  <si>
    <t>ETHIOPIAN AIRLINES</t>
  </si>
  <si>
    <t>GULF AIR</t>
  </si>
  <si>
    <t>SWISS AIR</t>
  </si>
  <si>
    <t>AIR CANADA</t>
  </si>
  <si>
    <t>AIR FRANCE</t>
  </si>
  <si>
    <t>KLM AIRLINES</t>
  </si>
  <si>
    <t>THAI AIRWAYS</t>
  </si>
  <si>
    <t>ALL NIPPON AIRWAYS</t>
  </si>
  <si>
    <t>AIR ASIA X</t>
  </si>
  <si>
    <t>AIR MAURITIUS</t>
  </si>
  <si>
    <t>KUWAIT AIRWAYS</t>
  </si>
  <si>
    <t>MALINDO AIRWAYS</t>
  </si>
  <si>
    <t>FLY DUBAI</t>
  </si>
  <si>
    <t>MYANMAR AIRLINES</t>
  </si>
  <si>
    <t>NEPAL AIRLINES CORPORATION</t>
  </si>
  <si>
    <t>AIR SEYCHELLES</t>
  </si>
  <si>
    <t>JAZEERA AIRWAYS</t>
  </si>
  <si>
    <t>AIR INDIA EXPRESS</t>
  </si>
  <si>
    <t>INDIGO</t>
  </si>
  <si>
    <t>SPICEJET</t>
  </si>
  <si>
    <t>AIR ASIA BERHAD</t>
  </si>
  <si>
    <t>CHINA AIRLINES LTD</t>
  </si>
  <si>
    <t>FLYNAS</t>
  </si>
  <si>
    <t>SCOOT TIGER AIR</t>
  </si>
  <si>
    <t>SINGAPORE AIRLINES</t>
  </si>
  <si>
    <t>US BANGLA AIRLINES</t>
  </si>
  <si>
    <t>AIR ARABIA-ABU DHABI</t>
  </si>
  <si>
    <t>AIR TANZANIA</t>
  </si>
  <si>
    <t>AMERICAN AIRLINES</t>
  </si>
  <si>
    <t>ARIANA AFGHAN</t>
  </si>
  <si>
    <t>NOVO AIR</t>
  </si>
  <si>
    <t>QANTAS AIRLINES</t>
  </si>
  <si>
    <t>SAUDIA</t>
  </si>
  <si>
    <t>BRITISH AIRWAYS</t>
  </si>
  <si>
    <t>THAI AIR ASIA</t>
  </si>
  <si>
    <t>THAI LION AIR</t>
  </si>
  <si>
    <t>VIETJET AIR</t>
  </si>
  <si>
    <t>AZERBAIJAN AIRLINES</t>
  </si>
  <si>
    <t>ALLIANCE AIR</t>
  </si>
  <si>
    <t>AERO NOMAD</t>
  </si>
  <si>
    <t>BATIK AIR</t>
  </si>
  <si>
    <t>BHUTAN AIRLINES</t>
  </si>
  <si>
    <t>NEOS SPA</t>
  </si>
  <si>
    <t>VIETNAM AIRLINES</t>
  </si>
  <si>
    <t>ASIANA AIRLINES</t>
  </si>
  <si>
    <t>BUDDHA AIR</t>
  </si>
  <si>
    <t>SALAM AIR</t>
  </si>
  <si>
    <t>SCAT AIRLINES</t>
  </si>
  <si>
    <t>UZBEKISTAN AIRWAYS</t>
  </si>
  <si>
    <t>AIR ASTANA</t>
  </si>
  <si>
    <t>EGYPT AIR</t>
  </si>
  <si>
    <t>ETIHAD AIRLINES</t>
  </si>
  <si>
    <t>FINN AIR</t>
  </si>
  <si>
    <t>IRAN AIR</t>
  </si>
  <si>
    <t>LOT POLISH</t>
  </si>
  <si>
    <t>UNITED PARCEL SERVICES</t>
  </si>
  <si>
    <t>AKASA AIR</t>
  </si>
  <si>
    <t>VISTARA AIRLINES</t>
  </si>
  <si>
    <t>APRIL</t>
  </si>
  <si>
    <t>MAY</t>
  </si>
  <si>
    <t>JUNE</t>
  </si>
  <si>
    <t>TABLE 2. AIRLINEWISE MONTHLY INTERNATIONAL TRAFFIC STATISTICS (SCHEDULED) FOR THE QUARTER APRIL-JUNE 2024 (P)</t>
  </si>
  <si>
    <t>DOMESTIC OPERATORS</t>
  </si>
  <si>
    <t>TOTAL (DOMESTIC OPERATORS)</t>
  </si>
  <si>
    <t xml:space="preserve">FOREIGN OPERATORS </t>
  </si>
  <si>
    <t>TOTAL (FOREIGN OPERATORS)</t>
  </si>
  <si>
    <t>TOTAL (DOMESTIC &amp; FOREIGN OPERATORS)</t>
  </si>
  <si>
    <t>Note: This table does not include the passengers and freight carried by domestic operators entirely outside the Indian territory.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</si>
</sst>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6"/>
      <color rgb="FFFF0000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8"/>
      <color rgb="FFFF0000"/>
      <name val="Times New Roman"/>
      <family val="1"/>
    </font>
    <font>
      <b/>
      <sz val="15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4" fillId="0" borderId="0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8" fillId="0" borderId="0" xfId="0" applyFont="1"/>
    <xf numFmtId="0" fontId="4" fillId="4" borderId="1" xfId="0" applyFont="1" applyFill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 wrapText="1"/>
    </xf>
    <xf numFmtId="0" fontId="8" fillId="0" borderId="1" xfId="0" applyFont="1" applyBorder="1" applyAlignment="1"/>
    <xf numFmtId="164" fontId="8" fillId="0" borderId="1" xfId="0" applyNumberFormat="1" applyFont="1" applyBorder="1" applyAlignment="1"/>
    <xf numFmtId="0" fontId="8" fillId="0" borderId="1" xfId="0" applyFont="1" applyBorder="1" applyAlignment="1">
      <alignment wrapText="1"/>
    </xf>
    <xf numFmtId="164" fontId="8" fillId="0" borderId="1" xfId="0" applyNumberFormat="1" applyFont="1" applyFill="1" applyBorder="1" applyAlignment="1"/>
    <xf numFmtId="0" fontId="8" fillId="0" borderId="1" xfId="0" applyFont="1" applyFill="1" applyBorder="1" applyAlignment="1"/>
    <xf numFmtId="0" fontId="8" fillId="0" borderId="1" xfId="0" applyFont="1" applyFill="1" applyBorder="1" applyAlignment="1">
      <alignment horizontal="left" wrapText="1"/>
    </xf>
    <xf numFmtId="0" fontId="7" fillId="4" borderId="1" xfId="0" applyFont="1" applyFill="1" applyBorder="1" applyAlignment="1"/>
    <xf numFmtId="164" fontId="7" fillId="4" borderId="1" xfId="0" applyNumberFormat="1" applyFont="1" applyFill="1" applyBorder="1" applyAlignment="1"/>
    <xf numFmtId="0" fontId="7" fillId="3" borderId="1" xfId="0" applyFont="1" applyFill="1" applyBorder="1" applyAlignment="1"/>
    <xf numFmtId="164" fontId="7" fillId="3" borderId="1" xfId="0" applyNumberFormat="1" applyFont="1" applyFill="1" applyBorder="1" applyAlignment="1"/>
    <xf numFmtId="164" fontId="4" fillId="4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 wrapText="1"/>
    </xf>
    <xf numFmtId="0" fontId="10" fillId="0" borderId="3" xfId="0" applyFont="1" applyBorder="1" applyAlignment="1">
      <alignment horizontal="left" wrapText="1"/>
    </xf>
    <xf numFmtId="0" fontId="10" fillId="0" borderId="4" xfId="0" applyFont="1" applyBorder="1" applyAlignment="1">
      <alignment horizontal="left" wrapText="1"/>
    </xf>
    <xf numFmtId="0" fontId="6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7" fillId="4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6"/>
  <sheetViews>
    <sheetView tabSelected="1" view="pageBreakPreview" topLeftCell="A2" zoomScale="70" zoomScaleNormal="55" zoomScaleSheetLayoutView="70" workbookViewId="0">
      <selection activeCell="I8" sqref="I8"/>
    </sheetView>
  </sheetViews>
  <sheetFormatPr defaultRowHeight="15" x14ac:dyDescent="0.25"/>
  <cols>
    <col min="1" max="1" width="9" style="1" customWidth="1"/>
    <col min="2" max="2" width="41.5703125" style="7" customWidth="1"/>
    <col min="3" max="3" width="15.85546875" style="1" customWidth="1"/>
    <col min="4" max="4" width="17" style="1" customWidth="1"/>
    <col min="5" max="5" width="15.85546875" style="1" customWidth="1"/>
    <col min="6" max="6" width="16.7109375" style="1" customWidth="1"/>
    <col min="7" max="8" width="16.85546875" style="1" customWidth="1"/>
    <col min="9" max="9" width="13.28515625" style="1" customWidth="1"/>
    <col min="10" max="10" width="15.28515625" style="1" customWidth="1"/>
    <col min="11" max="11" width="15.5703125" style="1" customWidth="1"/>
    <col min="12" max="12" width="17" style="1" customWidth="1"/>
    <col min="13" max="13" width="12.28515625" style="1" customWidth="1"/>
    <col min="14" max="14" width="16" style="1" customWidth="1"/>
    <col min="15" max="19" width="12.42578125" style="1" customWidth="1"/>
    <col min="20" max="16384" width="9.140625" style="1"/>
  </cols>
  <sheetData>
    <row r="1" spans="1:14" ht="52.5" customHeight="1" x14ac:dyDescent="0.25">
      <c r="A1" s="22" t="s">
        <v>93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s="2" customFormat="1" ht="25.5" customHeight="1" x14ac:dyDescent="0.25">
      <c r="A2" s="23" t="s">
        <v>23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ht="21" customHeight="1" x14ac:dyDescent="0.25">
      <c r="A3" s="24" t="s">
        <v>30</v>
      </c>
      <c r="B3" s="25" t="s">
        <v>0</v>
      </c>
      <c r="C3" s="24" t="s">
        <v>90</v>
      </c>
      <c r="D3" s="24"/>
      <c r="E3" s="24"/>
      <c r="F3" s="24"/>
      <c r="G3" s="24" t="s">
        <v>91</v>
      </c>
      <c r="H3" s="24"/>
      <c r="I3" s="24"/>
      <c r="J3" s="24"/>
      <c r="K3" s="24" t="s">
        <v>92</v>
      </c>
      <c r="L3" s="24"/>
      <c r="M3" s="24"/>
      <c r="N3" s="24"/>
    </row>
    <row r="4" spans="1:14" s="7" customFormat="1" ht="33.75" customHeight="1" x14ac:dyDescent="0.25">
      <c r="A4" s="24"/>
      <c r="B4" s="25"/>
      <c r="C4" s="21" t="s">
        <v>24</v>
      </c>
      <c r="D4" s="21" t="s">
        <v>25</v>
      </c>
      <c r="E4" s="21" t="s">
        <v>26</v>
      </c>
      <c r="F4" s="21" t="s">
        <v>27</v>
      </c>
      <c r="G4" s="21" t="s">
        <v>24</v>
      </c>
      <c r="H4" s="21" t="s">
        <v>25</v>
      </c>
      <c r="I4" s="21" t="s">
        <v>26</v>
      </c>
      <c r="J4" s="21" t="s">
        <v>27</v>
      </c>
      <c r="K4" s="21" t="s">
        <v>24</v>
      </c>
      <c r="L4" s="21" t="s">
        <v>25</v>
      </c>
      <c r="M4" s="21" t="s">
        <v>26</v>
      </c>
      <c r="N4" s="21" t="s">
        <v>27</v>
      </c>
    </row>
    <row r="5" spans="1:14" ht="27" customHeight="1" x14ac:dyDescent="0.25">
      <c r="A5" s="30" t="s">
        <v>94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</row>
    <row r="6" spans="1:14" s="4" customFormat="1" ht="19.5" customHeight="1" x14ac:dyDescent="0.25">
      <c r="A6" s="3">
        <v>1</v>
      </c>
      <c r="B6" s="9" t="s">
        <v>1</v>
      </c>
      <c r="C6" s="10">
        <v>330793</v>
      </c>
      <c r="D6" s="10">
        <v>374197</v>
      </c>
      <c r="E6" s="10">
        <v>4491.0609999999997</v>
      </c>
      <c r="F6" s="10">
        <v>7265.1985000000013</v>
      </c>
      <c r="G6" s="10">
        <v>357434</v>
      </c>
      <c r="H6" s="10">
        <v>378935</v>
      </c>
      <c r="I6" s="10">
        <v>4454.2841000000017</v>
      </c>
      <c r="J6" s="10">
        <v>8001.6652999999988</v>
      </c>
      <c r="K6" s="10">
        <v>378801</v>
      </c>
      <c r="L6" s="10">
        <v>355692</v>
      </c>
      <c r="M6" s="10">
        <v>5146.0951999999997</v>
      </c>
      <c r="N6" s="10">
        <v>8002.8089999999993</v>
      </c>
    </row>
    <row r="7" spans="1:14" s="4" customFormat="1" ht="19.5" customHeight="1" x14ac:dyDescent="0.25">
      <c r="A7" s="3">
        <v>2</v>
      </c>
      <c r="B7" s="9" t="s">
        <v>49</v>
      </c>
      <c r="C7" s="10">
        <v>214892</v>
      </c>
      <c r="D7" s="10">
        <v>255490</v>
      </c>
      <c r="E7" s="10">
        <v>784.80550000000005</v>
      </c>
      <c r="F7" s="10">
        <v>2425.4585000000002</v>
      </c>
      <c r="G7" s="10">
        <v>247648</v>
      </c>
      <c r="H7" s="10">
        <v>262376</v>
      </c>
      <c r="I7" s="10">
        <v>535.86599999999999</v>
      </c>
      <c r="J7" s="10">
        <v>2790.9475000000002</v>
      </c>
      <c r="K7" s="10">
        <v>278951</v>
      </c>
      <c r="L7" s="10">
        <v>201977</v>
      </c>
      <c r="M7" s="10">
        <v>1369.2465</v>
      </c>
      <c r="N7" s="10">
        <v>2061.2235000000001</v>
      </c>
    </row>
    <row r="8" spans="1:14" s="4" customFormat="1" ht="19.5" customHeight="1" x14ac:dyDescent="0.25">
      <c r="A8" s="3">
        <v>3</v>
      </c>
      <c r="B8" s="9" t="s">
        <v>88</v>
      </c>
      <c r="C8" s="10">
        <v>1216</v>
      </c>
      <c r="D8" s="10">
        <v>2472</v>
      </c>
      <c r="E8" s="10">
        <v>0</v>
      </c>
      <c r="F8" s="10">
        <v>0</v>
      </c>
      <c r="G8" s="10">
        <v>2399</v>
      </c>
      <c r="H8" s="10">
        <v>2694</v>
      </c>
      <c r="I8" s="10">
        <v>0</v>
      </c>
      <c r="J8" s="10">
        <v>17.989999999999998</v>
      </c>
      <c r="K8" s="10">
        <v>6364</v>
      </c>
      <c r="L8" s="10">
        <v>3920</v>
      </c>
      <c r="M8" s="10">
        <v>0</v>
      </c>
      <c r="N8" s="10">
        <v>42.502000000000002</v>
      </c>
    </row>
    <row r="9" spans="1:14" s="4" customFormat="1" ht="19.5" customHeight="1" x14ac:dyDescent="0.25">
      <c r="A9" s="3">
        <v>4</v>
      </c>
      <c r="B9" s="9" t="s">
        <v>70</v>
      </c>
      <c r="C9" s="10">
        <v>1498</v>
      </c>
      <c r="D9" s="10">
        <v>1646</v>
      </c>
      <c r="E9" s="10">
        <v>0</v>
      </c>
      <c r="F9" s="10">
        <v>0</v>
      </c>
      <c r="G9" s="10">
        <v>1512</v>
      </c>
      <c r="H9" s="10">
        <v>1429</v>
      </c>
      <c r="I9" s="10">
        <v>0</v>
      </c>
      <c r="J9" s="10">
        <v>0</v>
      </c>
      <c r="K9" s="10">
        <v>1631</v>
      </c>
      <c r="L9" s="10">
        <v>1516</v>
      </c>
      <c r="M9" s="10">
        <v>0</v>
      </c>
      <c r="N9" s="10">
        <v>0</v>
      </c>
    </row>
    <row r="10" spans="1:14" s="4" customFormat="1" ht="19.5" customHeight="1" x14ac:dyDescent="0.25">
      <c r="A10" s="3">
        <v>5</v>
      </c>
      <c r="B10" s="9" t="s">
        <v>50</v>
      </c>
      <c r="C10" s="10">
        <v>479640</v>
      </c>
      <c r="D10" s="10">
        <v>531155</v>
      </c>
      <c r="E10" s="10">
        <v>353.56799999999998</v>
      </c>
      <c r="F10" s="10">
        <v>2208.4459999999999</v>
      </c>
      <c r="G10" s="10">
        <v>550554</v>
      </c>
      <c r="H10" s="10">
        <v>571343</v>
      </c>
      <c r="I10" s="10">
        <v>549.65462000000002</v>
      </c>
      <c r="J10" s="10">
        <v>3205.5787099999998</v>
      </c>
      <c r="K10" s="10">
        <v>593415</v>
      </c>
      <c r="L10" s="10">
        <v>500179</v>
      </c>
      <c r="M10" s="10">
        <v>702.59799999999996</v>
      </c>
      <c r="N10" s="10">
        <v>2628.1930000000002</v>
      </c>
    </row>
    <row r="11" spans="1:14" s="4" customFormat="1" ht="19.5" customHeight="1" x14ac:dyDescent="0.25">
      <c r="A11" s="3">
        <v>6</v>
      </c>
      <c r="B11" s="9" t="s">
        <v>51</v>
      </c>
      <c r="C11" s="10">
        <v>63194</v>
      </c>
      <c r="D11" s="10">
        <v>69916</v>
      </c>
      <c r="E11" s="10">
        <v>41.2485</v>
      </c>
      <c r="F11" s="10">
        <v>455.42342999999994</v>
      </c>
      <c r="G11" s="10">
        <v>68720</v>
      </c>
      <c r="H11" s="10">
        <v>74346</v>
      </c>
      <c r="I11" s="10">
        <v>61.0837</v>
      </c>
      <c r="J11" s="10">
        <v>658.03856000000007</v>
      </c>
      <c r="K11" s="10">
        <v>74798</v>
      </c>
      <c r="L11" s="10">
        <v>65295</v>
      </c>
      <c r="M11" s="10">
        <v>164.25544000000002</v>
      </c>
      <c r="N11" s="10">
        <v>737.42552999999998</v>
      </c>
    </row>
    <row r="12" spans="1:14" s="4" customFormat="1" ht="19.5" customHeight="1" x14ac:dyDescent="0.25">
      <c r="A12" s="3">
        <v>7</v>
      </c>
      <c r="B12" s="12" t="s">
        <v>89</v>
      </c>
      <c r="C12" s="10">
        <v>112597</v>
      </c>
      <c r="D12" s="10">
        <v>127880</v>
      </c>
      <c r="E12" s="10">
        <v>1291.52927</v>
      </c>
      <c r="F12" s="10">
        <v>1674.6848300000001</v>
      </c>
      <c r="G12" s="10">
        <v>118639</v>
      </c>
      <c r="H12" s="10">
        <v>132650</v>
      </c>
      <c r="I12" s="10">
        <v>1203.32547</v>
      </c>
      <c r="J12" s="10">
        <v>1488.7736200000002</v>
      </c>
      <c r="K12" s="10">
        <v>133241</v>
      </c>
      <c r="L12" s="10">
        <v>115870</v>
      </c>
      <c r="M12" s="10">
        <v>1565.1843799999999</v>
      </c>
      <c r="N12" s="10">
        <v>1907.0987600000001</v>
      </c>
    </row>
    <row r="13" spans="1:14" ht="31.5" customHeight="1" x14ac:dyDescent="0.25">
      <c r="A13" s="31" t="s">
        <v>95</v>
      </c>
      <c r="B13" s="31"/>
      <c r="C13" s="5">
        <f>SUM(C6:C12)</f>
        <v>1203830</v>
      </c>
      <c r="D13" s="5">
        <f>SUM(D6:D12)</f>
        <v>1362756</v>
      </c>
      <c r="E13" s="20">
        <f t="shared" ref="E13:N13" si="0">SUM(E6:E12)</f>
        <v>6962.21227</v>
      </c>
      <c r="F13" s="20">
        <f t="shared" si="0"/>
        <v>14029.211260000002</v>
      </c>
      <c r="G13" s="5">
        <f t="shared" si="0"/>
        <v>1346906</v>
      </c>
      <c r="H13" s="5">
        <f t="shared" si="0"/>
        <v>1423773</v>
      </c>
      <c r="I13" s="20">
        <f t="shared" si="0"/>
        <v>6804.2138900000018</v>
      </c>
      <c r="J13" s="20">
        <f t="shared" si="0"/>
        <v>16162.993689999999</v>
      </c>
      <c r="K13" s="5">
        <f t="shared" si="0"/>
        <v>1467201</v>
      </c>
      <c r="L13" s="5">
        <f t="shared" si="0"/>
        <v>1244449</v>
      </c>
      <c r="M13" s="20">
        <f t="shared" si="0"/>
        <v>8947.3795200000004</v>
      </c>
      <c r="N13" s="20">
        <f t="shared" si="0"/>
        <v>15379.251790000002</v>
      </c>
    </row>
    <row r="14" spans="1:14" ht="28.5" customHeight="1" x14ac:dyDescent="0.25">
      <c r="A14" s="32" t="s">
        <v>96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</row>
    <row r="15" spans="1:14" ht="24.75" customHeight="1" x14ac:dyDescent="0.25">
      <c r="A15" s="8">
        <v>1</v>
      </c>
      <c r="B15" s="9" t="s">
        <v>71</v>
      </c>
      <c r="C15" s="10">
        <v>83</v>
      </c>
      <c r="D15" s="10">
        <v>154</v>
      </c>
      <c r="E15" s="11">
        <v>0</v>
      </c>
      <c r="F15" s="11">
        <v>7.6059999999999999</v>
      </c>
      <c r="G15" s="10">
        <v>2778</v>
      </c>
      <c r="H15" s="10">
        <v>571</v>
      </c>
      <c r="I15" s="11">
        <v>0</v>
      </c>
      <c r="J15" s="11">
        <v>7.6189999999999998</v>
      </c>
      <c r="K15" s="10">
        <v>1880</v>
      </c>
      <c r="L15" s="10">
        <v>311</v>
      </c>
      <c r="M15" s="11">
        <v>0</v>
      </c>
      <c r="N15" s="11">
        <v>26.649000000000001</v>
      </c>
    </row>
    <row r="16" spans="1:14" ht="31.5" customHeight="1" x14ac:dyDescent="0.25">
      <c r="A16" s="8">
        <v>2</v>
      </c>
      <c r="B16" s="12" t="s">
        <v>2</v>
      </c>
      <c r="C16" s="10">
        <v>10018</v>
      </c>
      <c r="D16" s="10">
        <v>11339</v>
      </c>
      <c r="E16" s="13">
        <v>78.802000000000007</v>
      </c>
      <c r="F16" s="13">
        <v>603.35900000000004</v>
      </c>
      <c r="G16" s="10">
        <v>5984</v>
      </c>
      <c r="H16" s="10">
        <v>9860</v>
      </c>
      <c r="I16" s="11">
        <v>48.874000000000002</v>
      </c>
      <c r="J16" s="11">
        <v>311.53699999999998</v>
      </c>
      <c r="K16" s="10">
        <v>4801</v>
      </c>
      <c r="L16" s="10">
        <v>4534</v>
      </c>
      <c r="M16" s="11">
        <v>34.651000000000003</v>
      </c>
      <c r="N16" s="11">
        <v>70.025999999999996</v>
      </c>
    </row>
    <row r="17" spans="1:17" ht="31.5" customHeight="1" x14ac:dyDescent="0.25">
      <c r="A17" s="8">
        <v>3</v>
      </c>
      <c r="B17" s="9" t="s">
        <v>3</v>
      </c>
      <c r="C17" s="10">
        <v>0</v>
      </c>
      <c r="D17" s="10">
        <v>0</v>
      </c>
      <c r="E17" s="11">
        <v>5755.1170000000002</v>
      </c>
      <c r="F17" s="11">
        <v>6982.07</v>
      </c>
      <c r="G17" s="10">
        <v>0</v>
      </c>
      <c r="H17" s="10">
        <v>0</v>
      </c>
      <c r="I17" s="11">
        <v>5952.9120000000003</v>
      </c>
      <c r="J17" s="11">
        <v>7324.3819999999996</v>
      </c>
      <c r="K17" s="14">
        <v>0</v>
      </c>
      <c r="L17" s="14">
        <v>0</v>
      </c>
      <c r="M17" s="13">
        <v>6136.1459999999997</v>
      </c>
      <c r="N17" s="13">
        <v>6741.0029999999997</v>
      </c>
    </row>
    <row r="18" spans="1:17" ht="31.5" customHeight="1" x14ac:dyDescent="0.25">
      <c r="A18" s="8">
        <v>4</v>
      </c>
      <c r="B18" s="9" t="s">
        <v>4</v>
      </c>
      <c r="C18" s="10">
        <v>69550</v>
      </c>
      <c r="D18" s="10">
        <v>74607</v>
      </c>
      <c r="E18" s="11">
        <v>101.065</v>
      </c>
      <c r="F18" s="11">
        <v>983.44200000000001</v>
      </c>
      <c r="G18" s="10">
        <v>78523</v>
      </c>
      <c r="H18" s="10">
        <v>82204</v>
      </c>
      <c r="I18" s="11">
        <v>50.055999999999997</v>
      </c>
      <c r="J18" s="11">
        <v>1170.4269999999999</v>
      </c>
      <c r="K18" s="10">
        <v>79907</v>
      </c>
      <c r="L18" s="10">
        <v>68180</v>
      </c>
      <c r="M18" s="11">
        <v>36.603000000000002</v>
      </c>
      <c r="N18" s="11">
        <v>1176.7470000000001</v>
      </c>
    </row>
    <row r="19" spans="1:17" ht="31.5" customHeight="1" x14ac:dyDescent="0.25">
      <c r="A19" s="8">
        <v>5</v>
      </c>
      <c r="B19" s="9" t="s">
        <v>58</v>
      </c>
      <c r="C19" s="10">
        <v>42033</v>
      </c>
      <c r="D19" s="10">
        <v>49029</v>
      </c>
      <c r="E19" s="11">
        <v>57.676000000000002</v>
      </c>
      <c r="F19" s="11">
        <v>505.18599999999998</v>
      </c>
      <c r="G19" s="10">
        <v>48255</v>
      </c>
      <c r="H19" s="10">
        <v>46774</v>
      </c>
      <c r="I19" s="11">
        <v>16.457000000000001</v>
      </c>
      <c r="J19" s="11">
        <v>614.05899999999997</v>
      </c>
      <c r="K19" s="10">
        <v>48511</v>
      </c>
      <c r="L19" s="10">
        <v>31117</v>
      </c>
      <c r="M19" s="11">
        <v>25.920999999999999</v>
      </c>
      <c r="N19" s="11">
        <v>561.14099999999996</v>
      </c>
    </row>
    <row r="20" spans="1:17" ht="31.5" customHeight="1" x14ac:dyDescent="0.25">
      <c r="A20" s="8">
        <v>6</v>
      </c>
      <c r="B20" s="9" t="s">
        <v>52</v>
      </c>
      <c r="C20" s="14">
        <v>39414</v>
      </c>
      <c r="D20" s="14">
        <v>40497</v>
      </c>
      <c r="E20" s="11">
        <v>82.052000000000007</v>
      </c>
      <c r="F20" s="11">
        <v>411.80316000000005</v>
      </c>
      <c r="G20" s="10">
        <v>57571</v>
      </c>
      <c r="H20" s="10">
        <v>58634</v>
      </c>
      <c r="I20" s="11">
        <v>82.150999999999996</v>
      </c>
      <c r="J20" s="11">
        <v>410.17</v>
      </c>
      <c r="K20" s="10">
        <v>57773</v>
      </c>
      <c r="L20" s="10">
        <v>50373</v>
      </c>
      <c r="M20" s="11">
        <v>96.728999999999999</v>
      </c>
      <c r="N20" s="11">
        <v>408.94499999999999</v>
      </c>
    </row>
    <row r="21" spans="1:17" s="6" customFormat="1" ht="27.95" customHeight="1" x14ac:dyDescent="0.25">
      <c r="A21" s="8">
        <v>7</v>
      </c>
      <c r="B21" s="15" t="s">
        <v>40</v>
      </c>
      <c r="C21" s="14">
        <v>7744</v>
      </c>
      <c r="D21" s="14">
        <v>8857</v>
      </c>
      <c r="E21" s="11">
        <v>151.048</v>
      </c>
      <c r="F21" s="11">
        <v>287.52499999999998</v>
      </c>
      <c r="G21" s="10">
        <v>8260</v>
      </c>
      <c r="H21" s="10">
        <v>10075</v>
      </c>
      <c r="I21" s="11">
        <v>96.122</v>
      </c>
      <c r="J21" s="11">
        <v>280.99900000000002</v>
      </c>
      <c r="K21" s="10">
        <v>10959</v>
      </c>
      <c r="L21" s="10">
        <v>11714</v>
      </c>
      <c r="M21" s="11">
        <v>132.822</v>
      </c>
      <c r="N21" s="11">
        <v>230.39699999999999</v>
      </c>
      <c r="O21" s="1"/>
      <c r="P21" s="1"/>
      <c r="Q21" s="1"/>
    </row>
    <row r="22" spans="1:17" s="6" customFormat="1" ht="27.95" customHeight="1" x14ac:dyDescent="0.25">
      <c r="A22" s="8">
        <v>8</v>
      </c>
      <c r="B22" s="12" t="s">
        <v>81</v>
      </c>
      <c r="C22" s="10">
        <v>6175</v>
      </c>
      <c r="D22" s="10">
        <v>7649</v>
      </c>
      <c r="E22" s="11">
        <v>2.4E-2</v>
      </c>
      <c r="F22" s="11">
        <v>108.413</v>
      </c>
      <c r="G22" s="14">
        <v>7813</v>
      </c>
      <c r="H22" s="14">
        <v>7357</v>
      </c>
      <c r="I22" s="13">
        <v>5.5119999999999996</v>
      </c>
      <c r="J22" s="13">
        <v>115.053</v>
      </c>
      <c r="K22" s="14">
        <v>9004</v>
      </c>
      <c r="L22" s="14">
        <v>6104</v>
      </c>
      <c r="M22" s="13">
        <v>6.7489999999999997</v>
      </c>
      <c r="N22" s="13">
        <v>153.54</v>
      </c>
      <c r="O22" s="1"/>
      <c r="P22" s="1"/>
      <c r="Q22" s="1"/>
    </row>
    <row r="23" spans="1:17" s="6" customFormat="1" ht="27.95" customHeight="1" x14ac:dyDescent="0.25">
      <c r="A23" s="8">
        <v>9</v>
      </c>
      <c r="B23" s="9" t="s">
        <v>35</v>
      </c>
      <c r="C23" s="10">
        <v>9351</v>
      </c>
      <c r="D23" s="10">
        <v>12381</v>
      </c>
      <c r="E23" s="11">
        <v>89.989000000000004</v>
      </c>
      <c r="F23" s="11">
        <v>251.59100000000001</v>
      </c>
      <c r="G23" s="10">
        <v>9175</v>
      </c>
      <c r="H23" s="10">
        <v>12394</v>
      </c>
      <c r="I23" s="11">
        <v>119.881</v>
      </c>
      <c r="J23" s="11">
        <v>231.642</v>
      </c>
      <c r="K23" s="10">
        <v>10840</v>
      </c>
      <c r="L23" s="10">
        <v>12139</v>
      </c>
      <c r="M23" s="11">
        <v>117.36499999999999</v>
      </c>
      <c r="N23" s="11">
        <v>240.227</v>
      </c>
      <c r="O23" s="1"/>
      <c r="P23" s="1"/>
      <c r="Q23" s="1"/>
    </row>
    <row r="24" spans="1:17" s="6" customFormat="1" ht="27.75" customHeight="1" x14ac:dyDescent="0.25">
      <c r="A24" s="8">
        <v>10</v>
      </c>
      <c r="B24" s="9" t="s">
        <v>36</v>
      </c>
      <c r="C24" s="10">
        <v>14092</v>
      </c>
      <c r="D24" s="10">
        <v>21673</v>
      </c>
      <c r="E24" s="11">
        <v>534.52499999999998</v>
      </c>
      <c r="F24" s="11">
        <v>791.71100000000001</v>
      </c>
      <c r="G24" s="10">
        <v>18647</v>
      </c>
      <c r="H24" s="10">
        <v>22101</v>
      </c>
      <c r="I24" s="11">
        <v>722.38</v>
      </c>
      <c r="J24" s="11">
        <v>791.17899999999997</v>
      </c>
      <c r="K24" s="10">
        <v>23206</v>
      </c>
      <c r="L24" s="10">
        <v>23044</v>
      </c>
      <c r="M24" s="11">
        <v>489.58699999999999</v>
      </c>
      <c r="N24" s="11">
        <v>843.12699999999995</v>
      </c>
      <c r="O24" s="1"/>
      <c r="P24" s="1"/>
      <c r="Q24" s="1"/>
    </row>
    <row r="25" spans="1:17" s="6" customFormat="1" ht="27.75" customHeight="1" x14ac:dyDescent="0.25">
      <c r="A25" s="8">
        <v>11</v>
      </c>
      <c r="B25" s="9" t="s">
        <v>41</v>
      </c>
      <c r="C25" s="10">
        <v>6045</v>
      </c>
      <c r="D25" s="10">
        <v>6847</v>
      </c>
      <c r="E25" s="11">
        <v>9.5280000000000005</v>
      </c>
      <c r="F25" s="11">
        <v>424.697</v>
      </c>
      <c r="G25" s="10">
        <v>6900</v>
      </c>
      <c r="H25" s="10">
        <v>8703</v>
      </c>
      <c r="I25" s="11">
        <v>5.6420000000000003</v>
      </c>
      <c r="J25" s="11">
        <v>405.32499999999999</v>
      </c>
      <c r="K25" s="10">
        <v>7891</v>
      </c>
      <c r="L25" s="10">
        <v>8385</v>
      </c>
      <c r="M25" s="11">
        <v>8.5730000000000004</v>
      </c>
      <c r="N25" s="11">
        <v>434.53800000000001</v>
      </c>
      <c r="O25" s="1"/>
      <c r="P25" s="1"/>
      <c r="Q25" s="1"/>
    </row>
    <row r="26" spans="1:17" s="6" customFormat="1" ht="27.75" customHeight="1" x14ac:dyDescent="0.25">
      <c r="A26" s="8">
        <v>12</v>
      </c>
      <c r="B26" s="15" t="s">
        <v>47</v>
      </c>
      <c r="C26" s="14">
        <v>340</v>
      </c>
      <c r="D26" s="14">
        <v>476</v>
      </c>
      <c r="E26" s="11">
        <v>0</v>
      </c>
      <c r="F26" s="11">
        <v>8.2370000000000001</v>
      </c>
      <c r="G26" s="10">
        <v>783</v>
      </c>
      <c r="H26" s="10">
        <v>996</v>
      </c>
      <c r="I26" s="11">
        <v>0</v>
      </c>
      <c r="J26" s="11">
        <v>2.81</v>
      </c>
      <c r="K26" s="10">
        <v>613</v>
      </c>
      <c r="L26" s="10">
        <v>703</v>
      </c>
      <c r="M26" s="11">
        <v>0.16700000000000001</v>
      </c>
      <c r="N26" s="11">
        <v>3.4489999999999998</v>
      </c>
      <c r="O26" s="1"/>
      <c r="P26" s="1"/>
      <c r="Q26" s="1"/>
    </row>
    <row r="27" spans="1:17" s="6" customFormat="1" ht="27.75" customHeight="1" x14ac:dyDescent="0.25">
      <c r="A27" s="8">
        <v>13</v>
      </c>
      <c r="B27" s="9" t="s">
        <v>59</v>
      </c>
      <c r="C27" s="10">
        <v>2547</v>
      </c>
      <c r="D27" s="10">
        <v>2786</v>
      </c>
      <c r="E27" s="11">
        <v>0.19700000000000001</v>
      </c>
      <c r="F27" s="11">
        <v>66.016999999999996</v>
      </c>
      <c r="G27" s="10">
        <v>2481</v>
      </c>
      <c r="H27" s="10">
        <v>3443</v>
      </c>
      <c r="I27" s="11">
        <v>0.128</v>
      </c>
      <c r="J27" s="11">
        <v>56.229219999999998</v>
      </c>
      <c r="K27" s="10">
        <v>3152</v>
      </c>
      <c r="L27" s="10">
        <v>2770</v>
      </c>
      <c r="M27" s="11">
        <v>8.7999999999999995E-2</v>
      </c>
      <c r="N27" s="11">
        <v>37.747500000000002</v>
      </c>
      <c r="O27" s="1"/>
      <c r="P27" s="1"/>
      <c r="Q27" s="1"/>
    </row>
    <row r="28" spans="1:17" s="6" customFormat="1" ht="27.75" customHeight="1" x14ac:dyDescent="0.25">
      <c r="A28" s="8">
        <v>14</v>
      </c>
      <c r="B28" s="9" t="s">
        <v>39</v>
      </c>
      <c r="C28" s="10">
        <v>4640</v>
      </c>
      <c r="D28" s="10">
        <v>6157</v>
      </c>
      <c r="E28" s="11">
        <v>362.80099999999999</v>
      </c>
      <c r="F28" s="11">
        <v>409.30900000000003</v>
      </c>
      <c r="G28" s="10">
        <v>3258</v>
      </c>
      <c r="H28" s="10">
        <v>6151</v>
      </c>
      <c r="I28" s="11">
        <v>385.512</v>
      </c>
      <c r="J28" s="11">
        <v>481.67</v>
      </c>
      <c r="K28" s="10">
        <v>5049</v>
      </c>
      <c r="L28" s="10">
        <v>5488</v>
      </c>
      <c r="M28" s="11">
        <v>580.34299999999996</v>
      </c>
      <c r="N28" s="11">
        <v>522.26499999999999</v>
      </c>
      <c r="O28" s="1"/>
      <c r="P28" s="1"/>
      <c r="Q28" s="1"/>
    </row>
    <row r="29" spans="1:17" s="6" customFormat="1" ht="27.75" customHeight="1" x14ac:dyDescent="0.25">
      <c r="A29" s="8">
        <v>15</v>
      </c>
      <c r="B29" s="9" t="s">
        <v>60</v>
      </c>
      <c r="C29" s="10">
        <v>6040</v>
      </c>
      <c r="D29" s="10">
        <v>6299</v>
      </c>
      <c r="E29" s="11">
        <v>33.951699999999995</v>
      </c>
      <c r="F29" s="11">
        <v>68.617000000000004</v>
      </c>
      <c r="G29" s="10">
        <v>8099</v>
      </c>
      <c r="H29" s="10">
        <v>7220</v>
      </c>
      <c r="I29" s="11">
        <v>43.627800000000001</v>
      </c>
      <c r="J29" s="11">
        <v>86.888999999999996</v>
      </c>
      <c r="K29" s="10">
        <v>8505</v>
      </c>
      <c r="L29" s="10">
        <v>6077</v>
      </c>
      <c r="M29" s="11">
        <v>70.85860000000001</v>
      </c>
      <c r="N29" s="11">
        <v>71.594499999999996</v>
      </c>
      <c r="O29" s="1"/>
      <c r="P29" s="1"/>
      <c r="Q29" s="1"/>
    </row>
    <row r="30" spans="1:17" s="6" customFormat="1" ht="27.75" customHeight="1" x14ac:dyDescent="0.25">
      <c r="A30" s="8">
        <v>16</v>
      </c>
      <c r="B30" s="9" t="s">
        <v>61</v>
      </c>
      <c r="C30" s="10">
        <v>9</v>
      </c>
      <c r="D30" s="10">
        <v>60</v>
      </c>
      <c r="E30" s="11">
        <v>7.6440000000000001</v>
      </c>
      <c r="F30" s="11">
        <v>44.38</v>
      </c>
      <c r="G30" s="10">
        <v>0</v>
      </c>
      <c r="H30" s="10">
        <v>0</v>
      </c>
      <c r="I30" s="11">
        <v>14.769</v>
      </c>
      <c r="J30" s="11">
        <v>51.994999999999997</v>
      </c>
      <c r="K30" s="10">
        <v>68</v>
      </c>
      <c r="L30" s="10">
        <v>60</v>
      </c>
      <c r="M30" s="11">
        <v>10.016</v>
      </c>
      <c r="N30" s="11">
        <v>63.531999999999996</v>
      </c>
      <c r="O30" s="1"/>
      <c r="P30" s="1"/>
      <c r="Q30" s="1"/>
    </row>
    <row r="31" spans="1:17" s="6" customFormat="1" ht="27.75" customHeight="1" x14ac:dyDescent="0.25">
      <c r="A31" s="8">
        <v>17</v>
      </c>
      <c r="B31" s="9" t="s">
        <v>76</v>
      </c>
      <c r="C31" s="10">
        <v>1991</v>
      </c>
      <c r="D31" s="10">
        <v>2826</v>
      </c>
      <c r="E31" s="11">
        <v>79.551699999999997</v>
      </c>
      <c r="F31" s="11">
        <v>27.642299999999999</v>
      </c>
      <c r="G31" s="10"/>
      <c r="H31" s="10"/>
      <c r="I31" s="11">
        <v>0</v>
      </c>
      <c r="J31" s="11">
        <v>0</v>
      </c>
      <c r="K31" s="10"/>
      <c r="L31" s="10"/>
      <c r="M31" s="11">
        <v>0</v>
      </c>
      <c r="N31" s="11">
        <v>0</v>
      </c>
      <c r="O31" s="1"/>
      <c r="P31" s="1"/>
      <c r="Q31" s="1"/>
    </row>
    <row r="32" spans="1:17" s="6" customFormat="1" ht="27.75" customHeight="1" x14ac:dyDescent="0.25">
      <c r="A32" s="8">
        <v>18</v>
      </c>
      <c r="B32" s="9" t="s">
        <v>69</v>
      </c>
      <c r="C32" s="10">
        <v>1794</v>
      </c>
      <c r="D32" s="10">
        <v>1973</v>
      </c>
      <c r="E32" s="11">
        <v>0</v>
      </c>
      <c r="F32" s="11">
        <v>26.341000000000001</v>
      </c>
      <c r="G32" s="10">
        <v>2272</v>
      </c>
      <c r="H32" s="10">
        <v>2353</v>
      </c>
      <c r="I32" s="11">
        <v>0</v>
      </c>
      <c r="J32" s="11">
        <v>16.562000000000001</v>
      </c>
      <c r="K32" s="10">
        <v>2514</v>
      </c>
      <c r="L32" s="10">
        <v>2533</v>
      </c>
      <c r="M32" s="13">
        <v>0</v>
      </c>
      <c r="N32" s="13">
        <v>29.753</v>
      </c>
      <c r="O32" s="1"/>
      <c r="P32" s="1"/>
      <c r="Q32" s="1"/>
    </row>
    <row r="33" spans="1:17" s="6" customFormat="1" ht="27.75" customHeight="1" x14ac:dyDescent="0.25">
      <c r="A33" s="8">
        <v>19</v>
      </c>
      <c r="B33" s="9" t="s">
        <v>72</v>
      </c>
      <c r="C33" s="10">
        <v>2810</v>
      </c>
      <c r="D33" s="10">
        <v>3599</v>
      </c>
      <c r="E33" s="11">
        <v>0</v>
      </c>
      <c r="F33" s="11">
        <v>1.6890000000000001</v>
      </c>
      <c r="G33" s="10">
        <v>4252</v>
      </c>
      <c r="H33" s="10">
        <v>3893</v>
      </c>
      <c r="I33" s="11">
        <v>0</v>
      </c>
      <c r="J33" s="11">
        <v>7.0819999999999999</v>
      </c>
      <c r="K33" s="10">
        <v>4067</v>
      </c>
      <c r="L33" s="10">
        <v>3538</v>
      </c>
      <c r="M33" s="11">
        <v>0</v>
      </c>
      <c r="N33" s="11">
        <v>11.826000000000001</v>
      </c>
      <c r="O33" s="1"/>
      <c r="P33" s="1"/>
      <c r="Q33" s="1"/>
    </row>
    <row r="34" spans="1:17" s="6" customFormat="1" ht="27.75" customHeight="1" x14ac:dyDescent="0.25">
      <c r="A34" s="8">
        <v>20</v>
      </c>
      <c r="B34" s="9" t="s">
        <v>73</v>
      </c>
      <c r="C34" s="10">
        <v>2364</v>
      </c>
      <c r="D34" s="10">
        <v>2675</v>
      </c>
      <c r="E34" s="11">
        <v>0</v>
      </c>
      <c r="F34" s="11">
        <v>0</v>
      </c>
      <c r="G34" s="14">
        <v>3660</v>
      </c>
      <c r="H34" s="14">
        <v>3792</v>
      </c>
      <c r="I34" s="11">
        <v>0</v>
      </c>
      <c r="J34" s="11">
        <v>0</v>
      </c>
      <c r="K34" s="10">
        <v>3751</v>
      </c>
      <c r="L34" s="10">
        <v>2847</v>
      </c>
      <c r="M34" s="11">
        <v>0</v>
      </c>
      <c r="N34" s="11">
        <v>0</v>
      </c>
      <c r="O34" s="1"/>
      <c r="P34" s="1"/>
      <c r="Q34" s="1"/>
    </row>
    <row r="35" spans="1:17" s="6" customFormat="1" ht="27.75" customHeight="1" x14ac:dyDescent="0.25">
      <c r="A35" s="8">
        <v>21</v>
      </c>
      <c r="B35" s="9" t="s">
        <v>5</v>
      </c>
      <c r="C35" s="10">
        <v>9565</v>
      </c>
      <c r="D35" s="10">
        <v>12606</v>
      </c>
      <c r="E35" s="11">
        <v>4.2469999999999999</v>
      </c>
      <c r="F35" s="11">
        <v>103.048</v>
      </c>
      <c r="G35" s="14">
        <v>6834</v>
      </c>
      <c r="H35" s="14">
        <v>8081</v>
      </c>
      <c r="I35" s="11">
        <v>10.132999999999999</v>
      </c>
      <c r="J35" s="11">
        <v>122.11199999999999</v>
      </c>
      <c r="K35" s="10">
        <v>7867</v>
      </c>
      <c r="L35" s="10">
        <v>9113</v>
      </c>
      <c r="M35" s="11">
        <v>18.434999999999999</v>
      </c>
      <c r="N35" s="11">
        <v>91.472999999999999</v>
      </c>
      <c r="O35" s="1"/>
      <c r="P35" s="1"/>
      <c r="Q35" s="1"/>
    </row>
    <row r="36" spans="1:17" s="6" customFormat="1" ht="27.75" customHeight="1" x14ac:dyDescent="0.25">
      <c r="A36" s="8">
        <v>22</v>
      </c>
      <c r="B36" s="12" t="s">
        <v>65</v>
      </c>
      <c r="C36" s="10">
        <v>30713</v>
      </c>
      <c r="D36" s="10">
        <v>47122</v>
      </c>
      <c r="E36" s="11">
        <v>1461.45</v>
      </c>
      <c r="F36" s="11">
        <v>2517.2260000000001</v>
      </c>
      <c r="G36" s="10">
        <v>39643</v>
      </c>
      <c r="H36" s="10">
        <v>45351</v>
      </c>
      <c r="I36" s="11">
        <v>1549.72</v>
      </c>
      <c r="J36" s="11">
        <v>2957.67</v>
      </c>
      <c r="K36" s="10">
        <v>49494</v>
      </c>
      <c r="L36" s="10">
        <v>48663</v>
      </c>
      <c r="M36" s="11">
        <v>1401.11</v>
      </c>
      <c r="N36" s="11">
        <v>3218.9</v>
      </c>
      <c r="O36" s="1"/>
      <c r="P36" s="1"/>
      <c r="Q36" s="1"/>
    </row>
    <row r="37" spans="1:17" s="6" customFormat="1" ht="27.95" customHeight="1" x14ac:dyDescent="0.25">
      <c r="A37" s="8">
        <v>23</v>
      </c>
      <c r="B37" s="9" t="s">
        <v>77</v>
      </c>
      <c r="C37" s="10">
        <v>518</v>
      </c>
      <c r="D37" s="10">
        <v>523</v>
      </c>
      <c r="E37" s="11">
        <v>0</v>
      </c>
      <c r="F37" s="11">
        <v>0</v>
      </c>
      <c r="G37" s="10">
        <v>391</v>
      </c>
      <c r="H37" s="10">
        <v>294</v>
      </c>
      <c r="I37" s="11">
        <v>0</v>
      </c>
      <c r="J37" s="11">
        <v>0</v>
      </c>
      <c r="K37" s="10">
        <v>363</v>
      </c>
      <c r="L37" s="10">
        <v>272</v>
      </c>
      <c r="M37" s="11">
        <v>0</v>
      </c>
      <c r="N37" s="11">
        <v>0</v>
      </c>
      <c r="O37" s="1"/>
      <c r="P37" s="1"/>
      <c r="Q37" s="1"/>
    </row>
    <row r="38" spans="1:17" s="6" customFormat="1" ht="27.95" customHeight="1" x14ac:dyDescent="0.25">
      <c r="A38" s="8">
        <v>24</v>
      </c>
      <c r="B38" s="9" t="s">
        <v>6</v>
      </c>
      <c r="C38" s="10">
        <v>27597</v>
      </c>
      <c r="D38" s="10">
        <v>32696</v>
      </c>
      <c r="E38" s="11">
        <v>6218.9255000000003</v>
      </c>
      <c r="F38" s="11">
        <v>2779.08689</v>
      </c>
      <c r="G38" s="10">
        <v>28117</v>
      </c>
      <c r="H38" s="10">
        <v>36030</v>
      </c>
      <c r="I38" s="11">
        <v>7060.5414000000001</v>
      </c>
      <c r="J38" s="11">
        <v>2991.1009099999997</v>
      </c>
      <c r="K38" s="10">
        <v>36384</v>
      </c>
      <c r="L38" s="10">
        <v>33350</v>
      </c>
      <c r="M38" s="11">
        <v>7116.5619999999999</v>
      </c>
      <c r="N38" s="11">
        <v>3063.5321200000003</v>
      </c>
      <c r="O38" s="1"/>
      <c r="P38" s="1"/>
      <c r="Q38" s="1"/>
    </row>
    <row r="39" spans="1:17" s="6" customFormat="1" ht="27.95" customHeight="1" x14ac:dyDescent="0.25">
      <c r="A39" s="8">
        <v>25</v>
      </c>
      <c r="B39" s="15" t="s">
        <v>53</v>
      </c>
      <c r="C39" s="10">
        <v>0</v>
      </c>
      <c r="D39" s="10">
        <v>0</v>
      </c>
      <c r="E39" s="11">
        <v>116.072</v>
      </c>
      <c r="F39" s="11">
        <v>178.34100000000001</v>
      </c>
      <c r="G39" s="14">
        <v>0</v>
      </c>
      <c r="H39" s="14">
        <v>0</v>
      </c>
      <c r="I39" s="11">
        <v>147.76599999999999</v>
      </c>
      <c r="J39" s="11">
        <v>200.50200000000001</v>
      </c>
      <c r="K39" s="10">
        <v>0</v>
      </c>
      <c r="L39" s="10">
        <v>0</v>
      </c>
      <c r="M39" s="11">
        <v>123.122</v>
      </c>
      <c r="N39" s="11">
        <v>137.447</v>
      </c>
      <c r="O39" s="1"/>
      <c r="P39" s="1"/>
      <c r="Q39" s="1"/>
    </row>
    <row r="40" spans="1:17" s="6" customFormat="1" ht="27.95" customHeight="1" x14ac:dyDescent="0.25">
      <c r="A40" s="8">
        <v>26</v>
      </c>
      <c r="B40" s="12" t="s">
        <v>7</v>
      </c>
      <c r="C40" s="10">
        <v>4368</v>
      </c>
      <c r="D40" s="10">
        <v>4045</v>
      </c>
      <c r="E40" s="11">
        <v>0.39294999999999997</v>
      </c>
      <c r="F40" s="11">
        <v>4.1366999999999994</v>
      </c>
      <c r="G40" s="10">
        <v>5098</v>
      </c>
      <c r="H40" s="10">
        <v>5215</v>
      </c>
      <c r="I40" s="11">
        <v>0.35220000000000001</v>
      </c>
      <c r="J40" s="11">
        <v>1.4352</v>
      </c>
      <c r="K40" s="10">
        <v>3818</v>
      </c>
      <c r="L40" s="10">
        <v>3564</v>
      </c>
      <c r="M40" s="11">
        <v>0.30164999999999997</v>
      </c>
      <c r="N40" s="11">
        <v>1.4952999999999999</v>
      </c>
      <c r="O40" s="1"/>
      <c r="P40" s="1"/>
      <c r="Q40" s="1"/>
    </row>
    <row r="41" spans="1:17" s="6" customFormat="1" ht="27.95" customHeight="1" x14ac:dyDescent="0.25">
      <c r="A41" s="8">
        <v>27</v>
      </c>
      <c r="B41" s="9" t="s">
        <v>82</v>
      </c>
      <c r="C41" s="10">
        <v>1621</v>
      </c>
      <c r="D41" s="10">
        <v>3004</v>
      </c>
      <c r="E41" s="11">
        <v>86.433000000000007</v>
      </c>
      <c r="F41" s="11">
        <v>664.84900000000005</v>
      </c>
      <c r="G41" s="10">
        <v>2599</v>
      </c>
      <c r="H41" s="10">
        <v>3384</v>
      </c>
      <c r="I41" s="11">
        <v>36.012</v>
      </c>
      <c r="J41" s="11">
        <v>683.48500000000001</v>
      </c>
      <c r="K41" s="10">
        <v>2535</v>
      </c>
      <c r="L41" s="10">
        <v>2361</v>
      </c>
      <c r="M41" s="11">
        <v>60.841999999999999</v>
      </c>
      <c r="N41" s="11">
        <v>748.89300000000003</v>
      </c>
      <c r="O41" s="1"/>
      <c r="P41" s="1"/>
      <c r="Q41" s="1"/>
    </row>
    <row r="42" spans="1:17" s="6" customFormat="1" ht="27.95" customHeight="1" x14ac:dyDescent="0.25">
      <c r="A42" s="8">
        <v>28</v>
      </c>
      <c r="B42" s="9" t="s">
        <v>31</v>
      </c>
      <c r="C42" s="10">
        <v>198578</v>
      </c>
      <c r="D42" s="10">
        <v>234773</v>
      </c>
      <c r="E42" s="11">
        <v>4715.1492149999995</v>
      </c>
      <c r="F42" s="11">
        <v>10493.884759999999</v>
      </c>
      <c r="G42" s="10">
        <v>230135</v>
      </c>
      <c r="H42" s="10">
        <v>257811</v>
      </c>
      <c r="I42" s="11">
        <v>4844.8506429999998</v>
      </c>
      <c r="J42" s="11">
        <v>12303.902056000003</v>
      </c>
      <c r="K42" s="10">
        <v>257868</v>
      </c>
      <c r="L42" s="10">
        <v>217399</v>
      </c>
      <c r="M42" s="11">
        <v>4234.1984520000005</v>
      </c>
      <c r="N42" s="11">
        <v>11443.206324000001</v>
      </c>
      <c r="O42" s="1"/>
      <c r="P42" s="1"/>
      <c r="Q42" s="1"/>
    </row>
    <row r="43" spans="1:17" s="6" customFormat="1" ht="27.95" customHeight="1" x14ac:dyDescent="0.25">
      <c r="A43" s="8">
        <v>29</v>
      </c>
      <c r="B43" s="9" t="s">
        <v>32</v>
      </c>
      <c r="C43" s="10">
        <v>16724</v>
      </c>
      <c r="D43" s="10">
        <v>26280</v>
      </c>
      <c r="E43" s="11">
        <v>393.98399999999998</v>
      </c>
      <c r="F43" s="11">
        <v>1460.2470000000001</v>
      </c>
      <c r="G43" s="10">
        <v>6752</v>
      </c>
      <c r="H43" s="10">
        <v>12325</v>
      </c>
      <c r="I43" s="11">
        <v>16.190999999999999</v>
      </c>
      <c r="J43" s="11">
        <v>274.45299999999997</v>
      </c>
      <c r="K43" s="10">
        <v>9252</v>
      </c>
      <c r="L43" s="10">
        <v>8709</v>
      </c>
      <c r="M43" s="13">
        <v>24.498000000000001</v>
      </c>
      <c r="N43" s="13">
        <v>318.23899999999998</v>
      </c>
      <c r="O43" s="1"/>
      <c r="P43" s="1"/>
      <c r="Q43" s="1"/>
    </row>
    <row r="44" spans="1:17" s="6" customFormat="1" ht="27.95" customHeight="1" x14ac:dyDescent="0.25">
      <c r="A44" s="8">
        <v>30</v>
      </c>
      <c r="B44" s="9" t="s">
        <v>83</v>
      </c>
      <c r="C44" s="10">
        <v>104554</v>
      </c>
      <c r="D44" s="10">
        <v>109523</v>
      </c>
      <c r="E44" s="11">
        <v>2055.8130000000001</v>
      </c>
      <c r="F44" s="11">
        <v>2612.23</v>
      </c>
      <c r="G44" s="10">
        <v>122961</v>
      </c>
      <c r="H44" s="10">
        <v>108955</v>
      </c>
      <c r="I44" s="11">
        <v>2650.0390000000002</v>
      </c>
      <c r="J44" s="11">
        <v>2636.6370000000002</v>
      </c>
      <c r="K44" s="10">
        <v>122836</v>
      </c>
      <c r="L44" s="10">
        <v>111759</v>
      </c>
      <c r="M44" s="13">
        <v>1418.6120000000001</v>
      </c>
      <c r="N44" s="13">
        <v>2876.1759999999999</v>
      </c>
      <c r="O44" s="1"/>
      <c r="P44" s="1"/>
      <c r="Q44" s="1"/>
    </row>
    <row r="45" spans="1:17" s="6" customFormat="1" ht="27.95" customHeight="1" x14ac:dyDescent="0.25">
      <c r="A45" s="8">
        <v>31</v>
      </c>
      <c r="B45" s="9" t="s">
        <v>8</v>
      </c>
      <c r="C45" s="10">
        <v>0</v>
      </c>
      <c r="D45" s="10">
        <v>0</v>
      </c>
      <c r="E45" s="11">
        <v>984.26599999999996</v>
      </c>
      <c r="F45" s="11">
        <v>2246.5030000000002</v>
      </c>
      <c r="G45" s="10">
        <v>0</v>
      </c>
      <c r="H45" s="10">
        <v>0</v>
      </c>
      <c r="I45" s="11">
        <v>1044.249</v>
      </c>
      <c r="J45" s="11">
        <v>2483.346</v>
      </c>
      <c r="K45" s="10">
        <v>0</v>
      </c>
      <c r="L45" s="10">
        <v>0</v>
      </c>
      <c r="M45" s="13">
        <v>929.50099999999998</v>
      </c>
      <c r="N45" s="13">
        <v>2616.7849999999999</v>
      </c>
      <c r="O45" s="1"/>
      <c r="P45" s="1"/>
      <c r="Q45" s="1"/>
    </row>
    <row r="46" spans="1:17" s="6" customFormat="1" ht="27.95" customHeight="1" x14ac:dyDescent="0.25">
      <c r="A46" s="8">
        <v>32</v>
      </c>
      <c r="B46" s="9" t="s">
        <v>84</v>
      </c>
      <c r="C46" s="10">
        <v>3657</v>
      </c>
      <c r="D46" s="10">
        <v>8047</v>
      </c>
      <c r="E46" s="11">
        <v>210.87200000000001</v>
      </c>
      <c r="F46" s="11">
        <v>448.80599999999998</v>
      </c>
      <c r="G46" s="10">
        <v>3682</v>
      </c>
      <c r="H46" s="10">
        <v>7050</v>
      </c>
      <c r="I46" s="11">
        <v>181.96899999999999</v>
      </c>
      <c r="J46" s="11">
        <v>502.78500000000003</v>
      </c>
      <c r="K46" s="10">
        <v>8043</v>
      </c>
      <c r="L46" s="10">
        <v>6481</v>
      </c>
      <c r="M46" s="13">
        <v>190.261</v>
      </c>
      <c r="N46" s="13">
        <v>538.62800000000004</v>
      </c>
      <c r="O46" s="1"/>
      <c r="P46" s="1"/>
      <c r="Q46" s="1"/>
    </row>
    <row r="47" spans="1:17" s="6" customFormat="1" ht="27.95" customHeight="1" x14ac:dyDescent="0.25">
      <c r="A47" s="8">
        <v>33</v>
      </c>
      <c r="B47" s="9" t="s">
        <v>44</v>
      </c>
      <c r="C47" s="10">
        <v>18655</v>
      </c>
      <c r="D47" s="10">
        <v>19821</v>
      </c>
      <c r="E47" s="11">
        <v>14.452</v>
      </c>
      <c r="F47" s="11">
        <v>144.76677000000001</v>
      </c>
      <c r="G47" s="10">
        <v>21093</v>
      </c>
      <c r="H47" s="10">
        <v>21822</v>
      </c>
      <c r="I47" s="11">
        <v>15.491</v>
      </c>
      <c r="J47" s="11">
        <v>169.97045</v>
      </c>
      <c r="K47" s="10">
        <v>21950</v>
      </c>
      <c r="L47" s="10">
        <v>17463</v>
      </c>
      <c r="M47" s="13">
        <v>9.1229999999999993</v>
      </c>
      <c r="N47" s="13">
        <v>216.65774999999999</v>
      </c>
      <c r="O47" s="1"/>
      <c r="P47" s="1"/>
      <c r="Q47" s="1"/>
    </row>
    <row r="48" spans="1:17" s="6" customFormat="1" ht="27.95" customHeight="1" x14ac:dyDescent="0.25">
      <c r="A48" s="8">
        <v>34</v>
      </c>
      <c r="B48" s="9" t="s">
        <v>54</v>
      </c>
      <c r="C48" s="10">
        <v>19411</v>
      </c>
      <c r="D48" s="10">
        <v>18692</v>
      </c>
      <c r="E48" s="11">
        <v>9.1180000000000003</v>
      </c>
      <c r="F48" s="11">
        <v>189.286</v>
      </c>
      <c r="G48" s="10">
        <v>20553</v>
      </c>
      <c r="H48" s="10">
        <v>21280</v>
      </c>
      <c r="I48" s="11">
        <v>17.504000000000001</v>
      </c>
      <c r="J48" s="11">
        <v>202.53399999999999</v>
      </c>
      <c r="K48" s="10">
        <v>20398</v>
      </c>
      <c r="L48" s="10">
        <v>18205</v>
      </c>
      <c r="M48" s="13">
        <v>8.0549999999999997</v>
      </c>
      <c r="N48" s="13">
        <v>182.19</v>
      </c>
      <c r="O48" s="1"/>
      <c r="P48" s="1"/>
      <c r="Q48" s="1"/>
    </row>
    <row r="49" spans="1:17" s="6" customFormat="1" ht="27.95" customHeight="1" x14ac:dyDescent="0.25">
      <c r="A49" s="8">
        <v>35</v>
      </c>
      <c r="B49" s="9" t="s">
        <v>33</v>
      </c>
      <c r="C49" s="10">
        <v>42429</v>
      </c>
      <c r="D49" s="10">
        <v>51142</v>
      </c>
      <c r="E49" s="11">
        <v>7.5869999999999997</v>
      </c>
      <c r="F49" s="11">
        <v>496.23500000000001</v>
      </c>
      <c r="G49" s="10">
        <v>47440</v>
      </c>
      <c r="H49" s="10">
        <v>54000</v>
      </c>
      <c r="I49" s="11">
        <v>20.077000000000002</v>
      </c>
      <c r="J49" s="11">
        <v>521.59199999999998</v>
      </c>
      <c r="K49" s="10">
        <v>54347</v>
      </c>
      <c r="L49" s="10">
        <v>35905</v>
      </c>
      <c r="M49" s="13">
        <v>8.9960000000000004</v>
      </c>
      <c r="N49" s="13">
        <v>635.45500000000004</v>
      </c>
      <c r="O49" s="1"/>
      <c r="P49" s="1"/>
      <c r="Q49" s="1"/>
    </row>
    <row r="50" spans="1:17" s="6" customFormat="1" ht="27.95" customHeight="1" x14ac:dyDescent="0.25">
      <c r="A50" s="8">
        <v>36</v>
      </c>
      <c r="B50" s="9" t="s">
        <v>85</v>
      </c>
      <c r="C50" s="10">
        <v>230</v>
      </c>
      <c r="D50" s="10">
        <v>626</v>
      </c>
      <c r="E50" s="11">
        <v>0.62</v>
      </c>
      <c r="F50" s="11">
        <v>5.4710000000000001</v>
      </c>
      <c r="G50" s="10"/>
      <c r="H50" s="10"/>
      <c r="I50" s="11">
        <v>0</v>
      </c>
      <c r="J50" s="11">
        <v>0</v>
      </c>
      <c r="K50" s="10">
        <v>75</v>
      </c>
      <c r="L50" s="10">
        <v>175</v>
      </c>
      <c r="M50" s="13">
        <v>0</v>
      </c>
      <c r="N50" s="13">
        <v>1.3440000000000001</v>
      </c>
      <c r="O50" s="1"/>
      <c r="P50" s="1"/>
      <c r="Q50" s="1"/>
    </row>
    <row r="51" spans="1:17" s="6" customFormat="1" ht="27.95" customHeight="1" x14ac:dyDescent="0.25">
      <c r="A51" s="8">
        <v>37</v>
      </c>
      <c r="B51" s="9" t="s">
        <v>9</v>
      </c>
      <c r="C51" s="10">
        <v>2150</v>
      </c>
      <c r="D51" s="10">
        <v>2220</v>
      </c>
      <c r="E51" s="11">
        <v>0.12</v>
      </c>
      <c r="F51" s="11">
        <v>1.728</v>
      </c>
      <c r="G51" s="10">
        <v>2795</v>
      </c>
      <c r="H51" s="10">
        <v>2630</v>
      </c>
      <c r="I51" s="11">
        <v>0.12</v>
      </c>
      <c r="J51" s="11">
        <v>2.4849999999999999</v>
      </c>
      <c r="K51" s="10">
        <v>3402</v>
      </c>
      <c r="L51" s="10">
        <v>2608</v>
      </c>
      <c r="M51" s="13">
        <v>0</v>
      </c>
      <c r="N51" s="13">
        <v>1.2390000000000001</v>
      </c>
      <c r="O51" s="1"/>
      <c r="P51" s="1"/>
      <c r="Q51" s="1"/>
    </row>
    <row r="52" spans="1:17" s="6" customFormat="1" ht="27.95" customHeight="1" x14ac:dyDescent="0.25">
      <c r="A52" s="8">
        <v>38</v>
      </c>
      <c r="B52" s="9" t="s">
        <v>10</v>
      </c>
      <c r="C52" s="10">
        <v>4245</v>
      </c>
      <c r="D52" s="10">
        <v>2821</v>
      </c>
      <c r="E52" s="11">
        <v>0.15</v>
      </c>
      <c r="F52" s="11">
        <v>111.29300000000001</v>
      </c>
      <c r="G52" s="10">
        <v>7962</v>
      </c>
      <c r="H52" s="10">
        <v>7386</v>
      </c>
      <c r="I52" s="11">
        <v>0.57099999999999995</v>
      </c>
      <c r="J52" s="11">
        <v>107.039</v>
      </c>
      <c r="K52" s="10">
        <v>5508</v>
      </c>
      <c r="L52" s="10">
        <v>5778</v>
      </c>
      <c r="M52" s="13">
        <v>2.1999999999999999E-2</v>
      </c>
      <c r="N52" s="13">
        <v>64.331000000000003</v>
      </c>
      <c r="O52" s="1"/>
      <c r="P52" s="1"/>
      <c r="Q52" s="1"/>
    </row>
    <row r="53" spans="1:17" s="6" customFormat="1" ht="27.95" customHeight="1" x14ac:dyDescent="0.25">
      <c r="A53" s="8">
        <v>39</v>
      </c>
      <c r="B53" s="9" t="s">
        <v>11</v>
      </c>
      <c r="C53" s="10">
        <v>4354</v>
      </c>
      <c r="D53" s="10">
        <v>5099</v>
      </c>
      <c r="E53" s="11">
        <v>490.48399999999998</v>
      </c>
      <c r="F53" s="11">
        <v>350.23</v>
      </c>
      <c r="G53" s="10">
        <v>3830</v>
      </c>
      <c r="H53" s="10">
        <v>5104</v>
      </c>
      <c r="I53" s="11">
        <v>513.79300000000001</v>
      </c>
      <c r="J53" s="11">
        <v>327.43900000000002</v>
      </c>
      <c r="K53" s="10">
        <v>5081</v>
      </c>
      <c r="L53" s="10">
        <v>4756</v>
      </c>
      <c r="M53" s="13">
        <v>535.23599999999999</v>
      </c>
      <c r="N53" s="13">
        <v>216.10599999999999</v>
      </c>
      <c r="O53" s="1"/>
      <c r="P53" s="1"/>
      <c r="Q53" s="1"/>
    </row>
    <row r="54" spans="1:17" s="6" customFormat="1" ht="27.95" customHeight="1" x14ac:dyDescent="0.25">
      <c r="A54" s="8">
        <v>40</v>
      </c>
      <c r="B54" s="9" t="s">
        <v>48</v>
      </c>
      <c r="C54" s="10">
        <v>10792</v>
      </c>
      <c r="D54" s="10">
        <v>10987</v>
      </c>
      <c r="E54" s="11">
        <v>20.001999999999999</v>
      </c>
      <c r="F54" s="11">
        <v>128.84200000000001</v>
      </c>
      <c r="G54" s="10">
        <v>12021</v>
      </c>
      <c r="H54" s="10">
        <v>11937</v>
      </c>
      <c r="I54" s="11">
        <v>18.541</v>
      </c>
      <c r="J54" s="11">
        <v>149.23500000000001</v>
      </c>
      <c r="K54" s="10">
        <v>12214</v>
      </c>
      <c r="L54" s="10">
        <v>9549</v>
      </c>
      <c r="M54" s="11">
        <v>2.8780000000000001</v>
      </c>
      <c r="N54" s="11">
        <v>125.008</v>
      </c>
      <c r="O54" s="1"/>
      <c r="P54" s="1"/>
      <c r="Q54" s="1"/>
    </row>
    <row r="55" spans="1:17" s="6" customFormat="1" ht="27.95" customHeight="1" x14ac:dyDescent="0.25">
      <c r="A55" s="8">
        <v>41</v>
      </c>
      <c r="B55" s="9" t="s">
        <v>12</v>
      </c>
      <c r="C55" s="10">
        <v>5892</v>
      </c>
      <c r="D55" s="10">
        <v>7337</v>
      </c>
      <c r="E55" s="11">
        <v>0.65</v>
      </c>
      <c r="F55" s="11">
        <v>31.338000000000001</v>
      </c>
      <c r="G55" s="10">
        <v>6658</v>
      </c>
      <c r="H55" s="10">
        <v>7977</v>
      </c>
      <c r="I55" s="11">
        <v>0.27100000000000002</v>
      </c>
      <c r="J55" s="11">
        <v>25.853999999999999</v>
      </c>
      <c r="K55" s="10">
        <v>8052</v>
      </c>
      <c r="L55" s="10">
        <v>7707</v>
      </c>
      <c r="M55" s="11">
        <v>1.0049999999999999</v>
      </c>
      <c r="N55" s="11">
        <v>48.643000000000001</v>
      </c>
      <c r="O55" s="1"/>
      <c r="P55" s="1"/>
      <c r="Q55" s="1"/>
    </row>
    <row r="56" spans="1:17" s="6" customFormat="1" ht="27.95" customHeight="1" x14ac:dyDescent="0.25">
      <c r="A56" s="8">
        <v>42</v>
      </c>
      <c r="B56" s="9" t="s">
        <v>37</v>
      </c>
      <c r="C56" s="10">
        <v>15945</v>
      </c>
      <c r="D56" s="10">
        <v>22736</v>
      </c>
      <c r="E56" s="11">
        <v>662.39099999999996</v>
      </c>
      <c r="F56" s="11">
        <v>822.02099999999996</v>
      </c>
      <c r="G56" s="10">
        <v>18939</v>
      </c>
      <c r="H56" s="10">
        <v>21535</v>
      </c>
      <c r="I56" s="11">
        <v>649.41099999999994</v>
      </c>
      <c r="J56" s="11">
        <v>1010.119</v>
      </c>
      <c r="K56" s="10">
        <v>20937</v>
      </c>
      <c r="L56" s="10">
        <v>20597</v>
      </c>
      <c r="M56" s="11">
        <v>643.30700000000002</v>
      </c>
      <c r="N56" s="11">
        <v>950.19299999999998</v>
      </c>
      <c r="O56" s="1"/>
      <c r="P56" s="1"/>
      <c r="Q56" s="1"/>
    </row>
    <row r="57" spans="1:17" s="6" customFormat="1" ht="27.95" customHeight="1" x14ac:dyDescent="0.25">
      <c r="A57" s="8">
        <v>43</v>
      </c>
      <c r="B57" s="9" t="s">
        <v>13</v>
      </c>
      <c r="C57" s="10">
        <v>1814</v>
      </c>
      <c r="D57" s="10">
        <v>2686</v>
      </c>
      <c r="E57" s="11">
        <v>277.57140000000004</v>
      </c>
      <c r="F57" s="11">
        <v>449.01190000000003</v>
      </c>
      <c r="G57" s="10">
        <v>2071</v>
      </c>
      <c r="H57" s="10">
        <v>2737</v>
      </c>
      <c r="I57" s="11">
        <v>327.56950000000001</v>
      </c>
      <c r="J57" s="11">
        <v>534.89</v>
      </c>
      <c r="K57" s="10">
        <v>2677</v>
      </c>
      <c r="L57" s="10">
        <v>2712</v>
      </c>
      <c r="M57" s="11">
        <v>347.89800000000002</v>
      </c>
      <c r="N57" s="11">
        <v>421.39800000000002</v>
      </c>
      <c r="O57" s="1"/>
      <c r="P57" s="1"/>
      <c r="Q57" s="1"/>
    </row>
    <row r="58" spans="1:17" s="6" customFormat="1" ht="27.95" customHeight="1" x14ac:dyDescent="0.25">
      <c r="A58" s="8">
        <v>44</v>
      </c>
      <c r="B58" s="9" t="s">
        <v>42</v>
      </c>
      <c r="C58" s="10">
        <v>21256</v>
      </c>
      <c r="D58" s="10">
        <v>25523</v>
      </c>
      <c r="E58" s="11">
        <v>0</v>
      </c>
      <c r="F58" s="11">
        <v>918.62699999999995</v>
      </c>
      <c r="G58" s="10">
        <v>24735</v>
      </c>
      <c r="H58" s="10">
        <v>24024</v>
      </c>
      <c r="I58" s="11">
        <v>0</v>
      </c>
      <c r="J58" s="11">
        <v>1022.398</v>
      </c>
      <c r="K58" s="10">
        <v>32904</v>
      </c>
      <c r="L58" s="10">
        <v>34314</v>
      </c>
      <c r="M58" s="11">
        <v>0</v>
      </c>
      <c r="N58" s="11">
        <v>859.31200000000001</v>
      </c>
      <c r="O58" s="1"/>
      <c r="P58" s="1"/>
      <c r="Q58" s="1"/>
    </row>
    <row r="59" spans="1:17" s="6" customFormat="1" ht="27.95" customHeight="1" x14ac:dyDescent="0.25">
      <c r="A59" s="8">
        <v>45</v>
      </c>
      <c r="B59" s="9" t="s">
        <v>86</v>
      </c>
      <c r="C59" s="10">
        <v>2847</v>
      </c>
      <c r="D59" s="10">
        <v>5370</v>
      </c>
      <c r="E59" s="11">
        <v>103.482</v>
      </c>
      <c r="F59" s="11">
        <v>243.89699999999999</v>
      </c>
      <c r="G59" s="10">
        <v>2075</v>
      </c>
      <c r="H59" s="10">
        <v>5268</v>
      </c>
      <c r="I59" s="11">
        <v>48.418999999999997</v>
      </c>
      <c r="J59" s="11">
        <v>261.32499999999999</v>
      </c>
      <c r="K59" s="10">
        <v>3773</v>
      </c>
      <c r="L59" s="10">
        <v>4186</v>
      </c>
      <c r="M59" s="11">
        <v>37.822000000000003</v>
      </c>
      <c r="N59" s="11">
        <v>254.54599999999999</v>
      </c>
      <c r="O59" s="1"/>
      <c r="P59" s="1"/>
      <c r="Q59" s="1"/>
    </row>
    <row r="60" spans="1:17" s="6" customFormat="1" ht="27.95" customHeight="1" x14ac:dyDescent="0.25">
      <c r="A60" s="8">
        <v>46</v>
      </c>
      <c r="B60" s="9" t="s">
        <v>14</v>
      </c>
      <c r="C60" s="10">
        <v>37843</v>
      </c>
      <c r="D60" s="10">
        <v>64181</v>
      </c>
      <c r="E60" s="11">
        <v>1878.086</v>
      </c>
      <c r="F60" s="11">
        <v>2641.71</v>
      </c>
      <c r="G60" s="10">
        <v>49274</v>
      </c>
      <c r="H60" s="10">
        <v>63606</v>
      </c>
      <c r="I60" s="11">
        <v>1737.461</v>
      </c>
      <c r="J60" s="11">
        <v>2968.45</v>
      </c>
      <c r="K60" s="10">
        <v>52000</v>
      </c>
      <c r="L60" s="10">
        <v>48675</v>
      </c>
      <c r="M60" s="11">
        <v>1566.24</v>
      </c>
      <c r="N60" s="11">
        <v>2402.6640000000002</v>
      </c>
      <c r="O60" s="1"/>
      <c r="P60" s="1"/>
      <c r="Q60" s="1"/>
    </row>
    <row r="61" spans="1:17" s="6" customFormat="1" ht="27.95" customHeight="1" x14ac:dyDescent="0.25">
      <c r="A61" s="8">
        <v>47</v>
      </c>
      <c r="B61" s="9" t="s">
        <v>15</v>
      </c>
      <c r="C61" s="10">
        <v>1102</v>
      </c>
      <c r="D61" s="10">
        <v>1732</v>
      </c>
      <c r="E61" s="11">
        <v>0.104</v>
      </c>
      <c r="F61" s="11">
        <v>127.452</v>
      </c>
      <c r="G61" s="10">
        <v>1209</v>
      </c>
      <c r="H61" s="10">
        <v>1139</v>
      </c>
      <c r="I61" s="11">
        <v>10.9</v>
      </c>
      <c r="J61" s="11">
        <v>149.15700000000001</v>
      </c>
      <c r="K61" s="10">
        <v>2361</v>
      </c>
      <c r="L61" s="10">
        <v>1452</v>
      </c>
      <c r="M61" s="11">
        <v>13.963200000000001</v>
      </c>
      <c r="N61" s="11">
        <v>160.327</v>
      </c>
      <c r="O61" s="1"/>
      <c r="P61" s="1"/>
      <c r="Q61" s="1"/>
    </row>
    <row r="62" spans="1:17" s="6" customFormat="1" ht="27.95" customHeight="1" x14ac:dyDescent="0.25">
      <c r="A62" s="8">
        <v>48</v>
      </c>
      <c r="B62" s="9" t="s">
        <v>16</v>
      </c>
      <c r="C62" s="10">
        <v>48391</v>
      </c>
      <c r="D62" s="10">
        <v>53528</v>
      </c>
      <c r="E62" s="11">
        <v>1294.4639999999999</v>
      </c>
      <c r="F62" s="11">
        <v>1470.259</v>
      </c>
      <c r="G62" s="10">
        <v>54763</v>
      </c>
      <c r="H62" s="10">
        <v>57156</v>
      </c>
      <c r="I62" s="11">
        <v>1471.8009999999999</v>
      </c>
      <c r="J62" s="11">
        <v>1563.075</v>
      </c>
      <c r="K62" s="10">
        <v>56192</v>
      </c>
      <c r="L62" s="10">
        <v>53431</v>
      </c>
      <c r="M62" s="11">
        <v>1515.9069999999999</v>
      </c>
      <c r="N62" s="11">
        <v>1402.2470000000001</v>
      </c>
      <c r="O62" s="1"/>
      <c r="P62" s="1"/>
      <c r="Q62" s="1"/>
    </row>
    <row r="63" spans="1:17" s="6" customFormat="1" ht="27.95" customHeight="1" x14ac:dyDescent="0.25">
      <c r="A63" s="8">
        <v>49</v>
      </c>
      <c r="B63" s="9" t="s">
        <v>43</v>
      </c>
      <c r="C63" s="10">
        <v>13431</v>
      </c>
      <c r="D63" s="10">
        <v>13797</v>
      </c>
      <c r="E63" s="11">
        <v>40.125</v>
      </c>
      <c r="F63" s="11">
        <v>71.051000000000002</v>
      </c>
      <c r="G63" s="10">
        <v>18093</v>
      </c>
      <c r="H63" s="10">
        <v>19082</v>
      </c>
      <c r="I63" s="11">
        <v>73.415000000000006</v>
      </c>
      <c r="J63" s="11">
        <v>77.373999999999995</v>
      </c>
      <c r="K63" s="10">
        <v>20395</v>
      </c>
      <c r="L63" s="10">
        <v>19519</v>
      </c>
      <c r="M63" s="11">
        <v>92.186000000000007</v>
      </c>
      <c r="N63" s="11">
        <v>82.808000000000007</v>
      </c>
      <c r="O63" s="1"/>
      <c r="P63" s="1"/>
      <c r="Q63" s="1"/>
    </row>
    <row r="64" spans="1:17" s="6" customFormat="1" ht="27.95" customHeight="1" x14ac:dyDescent="0.25">
      <c r="A64" s="8">
        <v>50</v>
      </c>
      <c r="B64" s="9" t="s">
        <v>45</v>
      </c>
      <c r="C64" s="10">
        <v>2400</v>
      </c>
      <c r="D64" s="10">
        <v>1951</v>
      </c>
      <c r="E64" s="11">
        <v>6.05</v>
      </c>
      <c r="F64" s="11">
        <v>7.3680000000000003</v>
      </c>
      <c r="G64" s="10">
        <v>961</v>
      </c>
      <c r="H64" s="10">
        <v>1134</v>
      </c>
      <c r="I64" s="11">
        <v>12.63</v>
      </c>
      <c r="J64" s="11">
        <v>7.1829999999999998</v>
      </c>
      <c r="K64" s="10">
        <v>1111</v>
      </c>
      <c r="L64" s="10">
        <v>925</v>
      </c>
      <c r="M64" s="11">
        <v>8.41</v>
      </c>
      <c r="N64" s="11">
        <v>6.4020000000000001</v>
      </c>
      <c r="O64" s="1"/>
      <c r="P64" s="1"/>
      <c r="Q64" s="1"/>
    </row>
    <row r="65" spans="1:17" s="6" customFormat="1" ht="27.95" customHeight="1" x14ac:dyDescent="0.25">
      <c r="A65" s="8">
        <v>51</v>
      </c>
      <c r="B65" s="9" t="s">
        <v>74</v>
      </c>
      <c r="C65" s="10">
        <v>4686</v>
      </c>
      <c r="D65" s="10">
        <v>3682</v>
      </c>
      <c r="E65" s="11">
        <v>0</v>
      </c>
      <c r="F65" s="11">
        <v>0</v>
      </c>
      <c r="G65" s="10">
        <v>1953</v>
      </c>
      <c r="H65" s="10">
        <v>3643</v>
      </c>
      <c r="I65" s="11">
        <v>0</v>
      </c>
      <c r="J65" s="11">
        <v>0</v>
      </c>
      <c r="K65" s="10">
        <v>2511</v>
      </c>
      <c r="L65" s="10">
        <v>2750</v>
      </c>
      <c r="M65" s="11">
        <v>0</v>
      </c>
      <c r="N65" s="11">
        <v>0</v>
      </c>
      <c r="O65" s="1"/>
      <c r="P65" s="1"/>
      <c r="Q65" s="1"/>
    </row>
    <row r="66" spans="1:17" s="6" customFormat="1" ht="27.95" customHeight="1" x14ac:dyDescent="0.25">
      <c r="A66" s="8">
        <v>52</v>
      </c>
      <c r="B66" s="9" t="s">
        <v>46</v>
      </c>
      <c r="C66" s="10">
        <v>8267</v>
      </c>
      <c r="D66" s="10">
        <v>8127</v>
      </c>
      <c r="E66" s="11">
        <v>37.700000000000003</v>
      </c>
      <c r="F66" s="11">
        <v>28.515999999999998</v>
      </c>
      <c r="G66" s="10">
        <v>11407</v>
      </c>
      <c r="H66" s="10">
        <v>10557</v>
      </c>
      <c r="I66" s="11">
        <v>66.156999999999996</v>
      </c>
      <c r="J66" s="11">
        <v>15.958</v>
      </c>
      <c r="K66" s="10">
        <v>8382</v>
      </c>
      <c r="L66" s="10">
        <v>7463</v>
      </c>
      <c r="M66" s="11">
        <v>77.396000000000001</v>
      </c>
      <c r="N66" s="11">
        <v>22.638000000000002</v>
      </c>
      <c r="O66" s="1"/>
      <c r="P66" s="1"/>
      <c r="Q66" s="1"/>
    </row>
    <row r="67" spans="1:17" s="6" customFormat="1" ht="27.95" customHeight="1" x14ac:dyDescent="0.25">
      <c r="A67" s="8">
        <v>53</v>
      </c>
      <c r="B67" s="9" t="s">
        <v>62</v>
      </c>
      <c r="C67" s="10">
        <v>1827</v>
      </c>
      <c r="D67" s="10">
        <v>1731</v>
      </c>
      <c r="E67" s="11">
        <v>0</v>
      </c>
      <c r="F67" s="11">
        <v>0</v>
      </c>
      <c r="G67" s="10">
        <v>1844</v>
      </c>
      <c r="H67" s="10">
        <v>1613</v>
      </c>
      <c r="I67" s="11">
        <v>0</v>
      </c>
      <c r="J67" s="11">
        <v>0</v>
      </c>
      <c r="K67" s="10">
        <v>1814</v>
      </c>
      <c r="L67" s="10">
        <v>1564</v>
      </c>
      <c r="M67" s="11">
        <v>0</v>
      </c>
      <c r="N67" s="11">
        <v>0</v>
      </c>
      <c r="O67" s="1"/>
      <c r="P67" s="1"/>
      <c r="Q67" s="1"/>
    </row>
    <row r="68" spans="1:17" s="6" customFormat="1" ht="27.95" customHeight="1" x14ac:dyDescent="0.25">
      <c r="A68" s="8">
        <v>54</v>
      </c>
      <c r="B68" s="9" t="s">
        <v>17</v>
      </c>
      <c r="C68" s="10">
        <v>43209</v>
      </c>
      <c r="D68" s="10">
        <v>55517</v>
      </c>
      <c r="E68" s="11">
        <v>169.0864</v>
      </c>
      <c r="F68" s="11">
        <v>818.69143999999994</v>
      </c>
      <c r="G68" s="10">
        <v>52569</v>
      </c>
      <c r="H68" s="10">
        <v>57744</v>
      </c>
      <c r="I68" s="11">
        <v>107.7452</v>
      </c>
      <c r="J68" s="11">
        <v>466.44450000000001</v>
      </c>
      <c r="K68" s="10">
        <v>64131</v>
      </c>
      <c r="L68" s="10">
        <v>39254</v>
      </c>
      <c r="M68" s="11">
        <v>82.953299999999999</v>
      </c>
      <c r="N68" s="11">
        <v>824.75018</v>
      </c>
      <c r="O68" s="1"/>
      <c r="P68" s="1"/>
      <c r="Q68" s="1"/>
    </row>
    <row r="69" spans="1:17" s="6" customFormat="1" ht="27.95" customHeight="1" x14ac:dyDescent="0.25">
      <c r="A69" s="8">
        <v>55</v>
      </c>
      <c r="B69" s="9" t="s">
        <v>63</v>
      </c>
      <c r="C69" s="10">
        <v>2831</v>
      </c>
      <c r="D69" s="10">
        <v>2928</v>
      </c>
      <c r="E69" s="11">
        <v>67.554500000000004</v>
      </c>
      <c r="F69" s="11">
        <v>1.2187999999999999</v>
      </c>
      <c r="G69" s="10">
        <v>2765</v>
      </c>
      <c r="H69" s="10">
        <v>2910</v>
      </c>
      <c r="I69" s="11">
        <v>3.2309999999999999</v>
      </c>
      <c r="J69" s="11">
        <v>29.430099999999999</v>
      </c>
      <c r="K69" s="10">
        <v>2674</v>
      </c>
      <c r="L69" s="10">
        <v>2602</v>
      </c>
      <c r="M69" s="11">
        <v>0.153</v>
      </c>
      <c r="N69" s="11">
        <v>26.02</v>
      </c>
      <c r="O69" s="1"/>
      <c r="P69" s="1"/>
      <c r="Q69" s="1"/>
    </row>
    <row r="70" spans="1:17" s="6" customFormat="1" ht="27.95" customHeight="1" x14ac:dyDescent="0.25">
      <c r="A70" s="8">
        <v>56</v>
      </c>
      <c r="B70" s="9" t="s">
        <v>18</v>
      </c>
      <c r="C70" s="10">
        <v>85495</v>
      </c>
      <c r="D70" s="10">
        <v>92883</v>
      </c>
      <c r="E70" s="11">
        <v>5488.6760000000004</v>
      </c>
      <c r="F70" s="11">
        <v>7880.5460000000003</v>
      </c>
      <c r="G70" s="10">
        <v>90756</v>
      </c>
      <c r="H70" s="10">
        <v>92647</v>
      </c>
      <c r="I70" s="11">
        <v>4928.0259999999998</v>
      </c>
      <c r="J70" s="11">
        <v>9217.2649999999994</v>
      </c>
      <c r="K70" s="10">
        <v>96219</v>
      </c>
      <c r="L70" s="10">
        <v>84021</v>
      </c>
      <c r="M70" s="11">
        <v>5110</v>
      </c>
      <c r="N70" s="11">
        <v>8509.33</v>
      </c>
      <c r="O70" s="1"/>
      <c r="P70" s="1"/>
      <c r="Q70" s="1"/>
    </row>
    <row r="71" spans="1:17" s="6" customFormat="1" ht="27.95" customHeight="1" x14ac:dyDescent="0.25">
      <c r="A71" s="8">
        <v>57</v>
      </c>
      <c r="B71" s="9" t="s">
        <v>78</v>
      </c>
      <c r="C71" s="10">
        <v>11172</v>
      </c>
      <c r="D71" s="10">
        <v>12144</v>
      </c>
      <c r="E71" s="11">
        <v>0</v>
      </c>
      <c r="F71" s="11">
        <v>0</v>
      </c>
      <c r="G71" s="10">
        <v>14202</v>
      </c>
      <c r="H71" s="10">
        <v>15719</v>
      </c>
      <c r="I71" s="11">
        <v>0</v>
      </c>
      <c r="J71" s="11">
        <v>0</v>
      </c>
      <c r="K71" s="10">
        <v>15714</v>
      </c>
      <c r="L71" s="10">
        <v>10295</v>
      </c>
      <c r="M71" s="11">
        <v>0.29799999999999999</v>
      </c>
      <c r="N71" s="11">
        <v>32.292999999999999</v>
      </c>
      <c r="O71" s="1"/>
      <c r="P71" s="1"/>
      <c r="Q71" s="1"/>
    </row>
    <row r="72" spans="1:17" s="6" customFormat="1" ht="27.95" customHeight="1" x14ac:dyDescent="0.25">
      <c r="A72" s="8">
        <v>58</v>
      </c>
      <c r="B72" s="9" t="s">
        <v>64</v>
      </c>
      <c r="C72" s="10">
        <v>63802</v>
      </c>
      <c r="D72" s="10">
        <v>61409</v>
      </c>
      <c r="E72" s="11">
        <v>408.42599999999999</v>
      </c>
      <c r="F72" s="11">
        <v>2596.424</v>
      </c>
      <c r="G72" s="10">
        <v>52978</v>
      </c>
      <c r="H72" s="10">
        <v>23704</v>
      </c>
      <c r="I72" s="11">
        <v>261.20999999999998</v>
      </c>
      <c r="J72" s="11">
        <v>1268.712</v>
      </c>
      <c r="K72" s="10">
        <v>35484</v>
      </c>
      <c r="L72" s="10">
        <v>19152</v>
      </c>
      <c r="M72" s="11">
        <v>54.621000000000002</v>
      </c>
      <c r="N72" s="11">
        <v>1217.6559999999999</v>
      </c>
      <c r="O72" s="1"/>
      <c r="P72" s="1"/>
      <c r="Q72" s="1"/>
    </row>
    <row r="73" spans="1:17" s="6" customFormat="1" ht="27.95" customHeight="1" x14ac:dyDescent="0.25">
      <c r="A73" s="8">
        <v>59</v>
      </c>
      <c r="B73" s="9" t="s">
        <v>79</v>
      </c>
      <c r="C73" s="10">
        <v>115</v>
      </c>
      <c r="D73" s="10">
        <v>441</v>
      </c>
      <c r="E73" s="11">
        <v>0</v>
      </c>
      <c r="F73" s="11">
        <v>3.5939999999999999</v>
      </c>
      <c r="G73" s="10"/>
      <c r="H73" s="10"/>
      <c r="I73" s="11">
        <v>0</v>
      </c>
      <c r="J73" s="11">
        <v>0</v>
      </c>
      <c r="K73" s="10"/>
      <c r="L73" s="10"/>
      <c r="M73" s="11">
        <v>0</v>
      </c>
      <c r="N73" s="11">
        <v>0</v>
      </c>
      <c r="O73" s="1"/>
      <c r="P73" s="1"/>
      <c r="Q73" s="1"/>
    </row>
    <row r="74" spans="1:17" s="6" customFormat="1" ht="27.95" customHeight="1" x14ac:dyDescent="0.25">
      <c r="A74" s="8">
        <v>60</v>
      </c>
      <c r="B74" s="9" t="s">
        <v>55</v>
      </c>
      <c r="C74" s="10">
        <v>30502</v>
      </c>
      <c r="D74" s="10">
        <v>37725</v>
      </c>
      <c r="E74" s="11">
        <v>7.9385000000000003</v>
      </c>
      <c r="F74" s="11">
        <v>167.72900000000001</v>
      </c>
      <c r="G74" s="10">
        <v>37798</v>
      </c>
      <c r="H74" s="10">
        <v>38906</v>
      </c>
      <c r="I74" s="11">
        <v>7.4930000000000003</v>
      </c>
      <c r="J74" s="11">
        <v>161.946</v>
      </c>
      <c r="K74" s="10">
        <v>33488</v>
      </c>
      <c r="L74" s="10">
        <v>33362</v>
      </c>
      <c r="M74" s="11">
        <v>7.0004999999999997</v>
      </c>
      <c r="N74" s="11">
        <v>149.02870000000001</v>
      </c>
      <c r="O74" s="1"/>
      <c r="P74" s="1"/>
      <c r="Q74" s="1"/>
    </row>
    <row r="75" spans="1:17" s="6" customFormat="1" ht="27.95" customHeight="1" x14ac:dyDescent="0.25">
      <c r="A75" s="8">
        <v>61</v>
      </c>
      <c r="B75" s="9" t="s">
        <v>56</v>
      </c>
      <c r="C75" s="10">
        <v>85979</v>
      </c>
      <c r="D75" s="10">
        <v>104377</v>
      </c>
      <c r="E75" s="11">
        <v>3073.15</v>
      </c>
      <c r="F75" s="11">
        <v>2723.0129999999999</v>
      </c>
      <c r="G75" s="10">
        <v>98651</v>
      </c>
      <c r="H75" s="10">
        <v>106785</v>
      </c>
      <c r="I75" s="11">
        <v>3544.1550000000002</v>
      </c>
      <c r="J75" s="11">
        <v>2794.0320000000002</v>
      </c>
      <c r="K75" s="10">
        <v>98574</v>
      </c>
      <c r="L75" s="10">
        <v>96931</v>
      </c>
      <c r="M75" s="11">
        <v>3660.6849999999999</v>
      </c>
      <c r="N75" s="11">
        <v>3193.54</v>
      </c>
      <c r="O75" s="1"/>
      <c r="P75" s="1"/>
      <c r="Q75" s="1"/>
    </row>
    <row r="76" spans="1:17" s="6" customFormat="1" ht="27.95" customHeight="1" x14ac:dyDescent="0.25">
      <c r="A76" s="8">
        <v>62</v>
      </c>
      <c r="B76" s="9" t="s">
        <v>29</v>
      </c>
      <c r="C76" s="10">
        <v>30208</v>
      </c>
      <c r="D76" s="10">
        <v>39113</v>
      </c>
      <c r="E76" s="11">
        <v>413.9</v>
      </c>
      <c r="F76" s="11">
        <v>698.09500000000003</v>
      </c>
      <c r="G76" s="10">
        <v>37014</v>
      </c>
      <c r="H76" s="10">
        <v>46321</v>
      </c>
      <c r="I76" s="11">
        <v>433.01190000000003</v>
      </c>
      <c r="J76" s="11">
        <v>910.73800000000006</v>
      </c>
      <c r="K76" s="10">
        <v>39741</v>
      </c>
      <c r="L76" s="10">
        <v>31816</v>
      </c>
      <c r="M76" s="11">
        <v>460.29579999999999</v>
      </c>
      <c r="N76" s="11">
        <v>1007.032</v>
      </c>
      <c r="O76" s="1"/>
      <c r="P76" s="1"/>
      <c r="Q76" s="1"/>
    </row>
    <row r="77" spans="1:17" s="6" customFormat="1" ht="27.95" customHeight="1" x14ac:dyDescent="0.25">
      <c r="A77" s="8">
        <v>63</v>
      </c>
      <c r="B77" s="9" t="s">
        <v>34</v>
      </c>
      <c r="C77" s="10">
        <v>8439</v>
      </c>
      <c r="D77" s="10">
        <v>13413</v>
      </c>
      <c r="E77" s="11">
        <v>583.61199999999997</v>
      </c>
      <c r="F77" s="11">
        <v>739.48599999999999</v>
      </c>
      <c r="G77" s="10">
        <v>10418</v>
      </c>
      <c r="H77" s="10">
        <v>13543</v>
      </c>
      <c r="I77" s="11">
        <v>568.12099999999998</v>
      </c>
      <c r="J77" s="11">
        <v>992.74699999999996</v>
      </c>
      <c r="K77" s="10">
        <v>12816</v>
      </c>
      <c r="L77" s="10">
        <v>13398</v>
      </c>
      <c r="M77" s="11">
        <v>599.66200000000003</v>
      </c>
      <c r="N77" s="11">
        <v>935.95899999999995</v>
      </c>
      <c r="O77" s="1"/>
      <c r="P77" s="1"/>
      <c r="Q77" s="1"/>
    </row>
    <row r="78" spans="1:17" s="6" customFormat="1" ht="27.95" customHeight="1" x14ac:dyDescent="0.25">
      <c r="A78" s="8">
        <v>64</v>
      </c>
      <c r="B78" s="9" t="s">
        <v>66</v>
      </c>
      <c r="C78" s="10">
        <v>30981</v>
      </c>
      <c r="D78" s="10">
        <v>33013</v>
      </c>
      <c r="E78" s="11">
        <v>132.26849999999999</v>
      </c>
      <c r="F78" s="11">
        <v>265.30599999999998</v>
      </c>
      <c r="G78" s="10">
        <v>33605</v>
      </c>
      <c r="H78" s="10">
        <v>34592</v>
      </c>
      <c r="I78" s="11">
        <v>112.069</v>
      </c>
      <c r="J78" s="11">
        <v>204.4196</v>
      </c>
      <c r="K78" s="10">
        <v>32142</v>
      </c>
      <c r="L78" s="10">
        <v>30613</v>
      </c>
      <c r="M78" s="11">
        <v>130.66</v>
      </c>
      <c r="N78" s="11">
        <v>277.2715</v>
      </c>
      <c r="O78" s="1"/>
      <c r="P78" s="1"/>
      <c r="Q78" s="1"/>
    </row>
    <row r="79" spans="1:17" s="6" customFormat="1" ht="27.95" customHeight="1" x14ac:dyDescent="0.25">
      <c r="A79" s="8">
        <v>65</v>
      </c>
      <c r="B79" s="9" t="s">
        <v>38</v>
      </c>
      <c r="C79" s="10">
        <v>53487</v>
      </c>
      <c r="D79" s="10">
        <v>56734</v>
      </c>
      <c r="E79" s="11">
        <v>1961.0519999999999</v>
      </c>
      <c r="F79" s="11">
        <v>1935.2059999999999</v>
      </c>
      <c r="G79" s="10">
        <v>63006</v>
      </c>
      <c r="H79" s="10">
        <v>64540</v>
      </c>
      <c r="I79" s="11">
        <v>1927.576</v>
      </c>
      <c r="J79" s="11">
        <v>2118.89</v>
      </c>
      <c r="K79" s="10">
        <v>65621</v>
      </c>
      <c r="L79" s="10">
        <v>59057</v>
      </c>
      <c r="M79" s="11">
        <v>2111.7629999999999</v>
      </c>
      <c r="N79" s="11">
        <v>2152.84</v>
      </c>
      <c r="O79" s="1"/>
      <c r="P79" s="1"/>
      <c r="Q79" s="1"/>
    </row>
    <row r="80" spans="1:17" s="6" customFormat="1" ht="27.95" customHeight="1" x14ac:dyDescent="0.25">
      <c r="A80" s="8">
        <v>66</v>
      </c>
      <c r="B80" s="9" t="s">
        <v>67</v>
      </c>
      <c r="C80" s="10">
        <v>7762</v>
      </c>
      <c r="D80" s="10">
        <v>7369</v>
      </c>
      <c r="E80" s="11">
        <v>59.021999999999998</v>
      </c>
      <c r="F80" s="11">
        <v>22.103999999999999</v>
      </c>
      <c r="G80" s="10">
        <v>9632</v>
      </c>
      <c r="H80" s="10">
        <v>9335</v>
      </c>
      <c r="I80" s="11">
        <v>44.944000000000003</v>
      </c>
      <c r="J80" s="11">
        <v>17.826000000000001</v>
      </c>
      <c r="K80" s="10">
        <v>9878</v>
      </c>
      <c r="L80" s="10">
        <v>9014</v>
      </c>
      <c r="M80" s="11">
        <v>15.885</v>
      </c>
      <c r="N80" s="11">
        <v>21.969000000000001</v>
      </c>
      <c r="O80" s="1"/>
      <c r="P80" s="1"/>
      <c r="Q80" s="1"/>
    </row>
    <row r="81" spans="1:17" s="6" customFormat="1" ht="27.95" customHeight="1" x14ac:dyDescent="0.25">
      <c r="A81" s="8">
        <v>67</v>
      </c>
      <c r="B81" s="9" t="s">
        <v>19</v>
      </c>
      <c r="C81" s="10">
        <v>13555</v>
      </c>
      <c r="D81" s="10">
        <v>21193</v>
      </c>
      <c r="E81" s="11">
        <v>2413.75693</v>
      </c>
      <c r="F81" s="11">
        <v>4024.6727400000004</v>
      </c>
      <c r="G81" s="10">
        <v>16344</v>
      </c>
      <c r="H81" s="10">
        <v>20949</v>
      </c>
      <c r="I81" s="11">
        <v>2791.7918999999997</v>
      </c>
      <c r="J81" s="11">
        <v>4072.06673</v>
      </c>
      <c r="K81" s="10">
        <v>19521</v>
      </c>
      <c r="L81" s="10">
        <v>17375</v>
      </c>
      <c r="M81" s="11">
        <v>5722.6982300000009</v>
      </c>
      <c r="N81" s="11">
        <v>4906.2029240000002</v>
      </c>
      <c r="O81" s="1"/>
      <c r="P81" s="1"/>
      <c r="Q81" s="1"/>
    </row>
    <row r="82" spans="1:17" s="6" customFormat="1" ht="27.95" customHeight="1" x14ac:dyDescent="0.25">
      <c r="A82" s="8">
        <v>68</v>
      </c>
      <c r="B82" s="9" t="s">
        <v>20</v>
      </c>
      <c r="C82" s="10">
        <v>5203</v>
      </c>
      <c r="D82" s="10">
        <v>7123</v>
      </c>
      <c r="E82" s="11">
        <v>54.671999999999997</v>
      </c>
      <c r="F82" s="11">
        <v>62.689</v>
      </c>
      <c r="G82" s="10">
        <v>6757</v>
      </c>
      <c r="H82" s="10">
        <v>6835</v>
      </c>
      <c r="I82" s="11">
        <v>67.039000000000001</v>
      </c>
      <c r="J82" s="11">
        <v>71.742000000000004</v>
      </c>
      <c r="K82" s="10">
        <v>7323</v>
      </c>
      <c r="L82" s="10">
        <v>6474</v>
      </c>
      <c r="M82" s="11">
        <v>54.14</v>
      </c>
      <c r="N82" s="11">
        <v>78.293999999999997</v>
      </c>
      <c r="O82" s="1"/>
      <c r="P82" s="1"/>
      <c r="Q82" s="1"/>
    </row>
    <row r="83" spans="1:17" s="6" customFormat="1" ht="27.95" customHeight="1" x14ac:dyDescent="0.25">
      <c r="A83" s="8">
        <v>69</v>
      </c>
      <c r="B83" s="9" t="s">
        <v>87</v>
      </c>
      <c r="C83" s="10">
        <v>0</v>
      </c>
      <c r="D83" s="10">
        <v>0</v>
      </c>
      <c r="E83" s="11">
        <v>1012.098</v>
      </c>
      <c r="F83" s="11">
        <v>2142.3719999999998</v>
      </c>
      <c r="G83" s="10">
        <v>0</v>
      </c>
      <c r="H83" s="10">
        <v>0</v>
      </c>
      <c r="I83" s="11">
        <v>2325.6849999999999</v>
      </c>
      <c r="J83" s="11">
        <v>2493.4009999999998</v>
      </c>
      <c r="K83" s="10">
        <v>0</v>
      </c>
      <c r="L83" s="10">
        <v>0</v>
      </c>
      <c r="M83" s="11">
        <v>2188.328</v>
      </c>
      <c r="N83" s="11">
        <v>2423.123</v>
      </c>
      <c r="O83" s="1"/>
      <c r="P83" s="1"/>
      <c r="Q83" s="1"/>
    </row>
    <row r="84" spans="1:17" s="6" customFormat="1" ht="27.95" customHeight="1" x14ac:dyDescent="0.25">
      <c r="A84" s="8">
        <v>70</v>
      </c>
      <c r="B84" s="9" t="s">
        <v>57</v>
      </c>
      <c r="C84" s="10">
        <v>7328</v>
      </c>
      <c r="D84" s="10">
        <v>7543</v>
      </c>
      <c r="E84" s="11">
        <v>0.28299999999999997</v>
      </c>
      <c r="F84" s="11">
        <v>5.3490000000000002</v>
      </c>
      <c r="G84" s="10"/>
      <c r="H84" s="10"/>
      <c r="I84" s="11">
        <v>0</v>
      </c>
      <c r="J84" s="11">
        <v>0</v>
      </c>
      <c r="K84" s="10">
        <v>7626</v>
      </c>
      <c r="L84" s="10">
        <v>8461</v>
      </c>
      <c r="M84" s="11">
        <v>0</v>
      </c>
      <c r="N84" s="11">
        <v>0</v>
      </c>
      <c r="O84" s="1"/>
      <c r="P84" s="1"/>
      <c r="Q84" s="1"/>
    </row>
    <row r="85" spans="1:17" s="6" customFormat="1" ht="27.95" customHeight="1" x14ac:dyDescent="0.25">
      <c r="A85" s="8">
        <v>71</v>
      </c>
      <c r="B85" s="9" t="s">
        <v>80</v>
      </c>
      <c r="C85" s="10">
        <v>5749</v>
      </c>
      <c r="D85" s="10">
        <v>7286</v>
      </c>
      <c r="E85" s="11">
        <v>18.984999999999999</v>
      </c>
      <c r="F85" s="11">
        <v>216.80600000000001</v>
      </c>
      <c r="G85" s="10">
        <v>6154</v>
      </c>
      <c r="H85" s="10">
        <v>5868</v>
      </c>
      <c r="I85" s="11">
        <v>16.350000000000001</v>
      </c>
      <c r="J85" s="11">
        <v>181.548</v>
      </c>
      <c r="K85" s="10">
        <v>6935</v>
      </c>
      <c r="L85" s="10">
        <v>4733</v>
      </c>
      <c r="M85" s="11">
        <v>6.79</v>
      </c>
      <c r="N85" s="11">
        <v>270.35300000000001</v>
      </c>
      <c r="O85" s="1"/>
      <c r="P85" s="1"/>
      <c r="Q85" s="1"/>
    </row>
    <row r="86" spans="1:17" s="6" customFormat="1" ht="27.95" customHeight="1" x14ac:dyDescent="0.25">
      <c r="A86" s="8">
        <v>72</v>
      </c>
      <c r="B86" s="9" t="s">
        <v>68</v>
      </c>
      <c r="C86" s="10">
        <v>15044</v>
      </c>
      <c r="D86" s="10">
        <v>15372</v>
      </c>
      <c r="E86" s="11">
        <v>392.17899999999997</v>
      </c>
      <c r="F86" s="11">
        <v>286.51090000000005</v>
      </c>
      <c r="G86" s="10">
        <v>15228</v>
      </c>
      <c r="H86" s="10">
        <v>18595</v>
      </c>
      <c r="I86" s="11">
        <v>444.70499999999998</v>
      </c>
      <c r="J86" s="11">
        <v>309.50390000000004</v>
      </c>
      <c r="K86" s="10">
        <v>17596</v>
      </c>
      <c r="L86" s="10">
        <v>16192</v>
      </c>
      <c r="M86" s="11">
        <v>398.94799999999998</v>
      </c>
      <c r="N86" s="11">
        <v>304.31099999999998</v>
      </c>
      <c r="O86" s="1"/>
      <c r="P86" s="1"/>
      <c r="Q86" s="1"/>
    </row>
    <row r="87" spans="1:17" s="6" customFormat="1" ht="27.95" customHeight="1" x14ac:dyDescent="0.25">
      <c r="A87" s="8">
        <v>73</v>
      </c>
      <c r="B87" s="9" t="s">
        <v>75</v>
      </c>
      <c r="C87" s="10">
        <v>4515</v>
      </c>
      <c r="D87" s="10">
        <v>4662</v>
      </c>
      <c r="E87" s="11">
        <v>56.137</v>
      </c>
      <c r="F87" s="11">
        <v>68.427199999999999</v>
      </c>
      <c r="G87" s="10"/>
      <c r="H87" s="10"/>
      <c r="I87" s="11">
        <v>0</v>
      </c>
      <c r="J87" s="11">
        <v>0</v>
      </c>
      <c r="K87" s="10"/>
      <c r="L87" s="10"/>
      <c r="M87" s="11">
        <v>0</v>
      </c>
      <c r="N87" s="11">
        <v>0</v>
      </c>
      <c r="O87" s="1"/>
      <c r="P87" s="1"/>
      <c r="Q87" s="1"/>
    </row>
    <row r="88" spans="1:17" s="6" customFormat="1" ht="27.95" customHeight="1" x14ac:dyDescent="0.25">
      <c r="A88" s="8">
        <v>74</v>
      </c>
      <c r="B88" s="9" t="s">
        <v>21</v>
      </c>
      <c r="C88" s="10">
        <v>17940</v>
      </c>
      <c r="D88" s="10">
        <v>33821</v>
      </c>
      <c r="E88" s="11">
        <v>427.69400000000002</v>
      </c>
      <c r="F88" s="11">
        <v>1181.749</v>
      </c>
      <c r="G88" s="10">
        <v>26544</v>
      </c>
      <c r="H88" s="10">
        <v>26740</v>
      </c>
      <c r="I88" s="11">
        <v>429.53800000000001</v>
      </c>
      <c r="J88" s="11">
        <v>1193.75</v>
      </c>
      <c r="K88" s="10">
        <v>32854</v>
      </c>
      <c r="L88" s="10">
        <v>32279</v>
      </c>
      <c r="M88" s="11">
        <v>429.959</v>
      </c>
      <c r="N88" s="11">
        <v>1240.211</v>
      </c>
      <c r="O88" s="1"/>
      <c r="P88" s="1"/>
      <c r="Q88" s="1"/>
    </row>
    <row r="89" spans="1:17" s="6" customFormat="1" ht="27.95" customHeight="1" x14ac:dyDescent="0.25">
      <c r="A89" s="8">
        <v>75</v>
      </c>
      <c r="B89" s="9" t="s">
        <v>22</v>
      </c>
      <c r="C89" s="10">
        <v>54</v>
      </c>
      <c r="D89" s="10">
        <v>288</v>
      </c>
      <c r="E89" s="11">
        <v>0</v>
      </c>
      <c r="F89" s="11">
        <v>0.80759999999999998</v>
      </c>
      <c r="G89" s="10">
        <v>161</v>
      </c>
      <c r="H89" s="10">
        <v>299</v>
      </c>
      <c r="I89" s="11">
        <v>0</v>
      </c>
      <c r="J89" s="11">
        <v>0.70535000000000003</v>
      </c>
      <c r="K89" s="10">
        <v>257</v>
      </c>
      <c r="L89" s="10">
        <v>544</v>
      </c>
      <c r="M89" s="11">
        <v>0</v>
      </c>
      <c r="N89" s="11">
        <v>2.4824200000000003</v>
      </c>
      <c r="O89" s="1"/>
      <c r="P89" s="1"/>
      <c r="Q89" s="1"/>
    </row>
    <row r="90" spans="1:17" ht="27.75" customHeight="1" x14ac:dyDescent="0.25">
      <c r="A90" s="33" t="s">
        <v>97</v>
      </c>
      <c r="B90" s="33"/>
      <c r="C90" s="16">
        <f t="shared" ref="C90:N90" si="1">SUM(C15:C89)</f>
        <v>1416272</v>
      </c>
      <c r="D90" s="16">
        <f t="shared" si="1"/>
        <v>1676646</v>
      </c>
      <c r="E90" s="17">
        <f t="shared" si="1"/>
        <v>45175.223295000003</v>
      </c>
      <c r="F90" s="17">
        <f t="shared" si="1"/>
        <v>69597.893159999978</v>
      </c>
      <c r="G90" s="16">
        <f t="shared" si="1"/>
        <v>1599181</v>
      </c>
      <c r="H90" s="16">
        <f t="shared" si="1"/>
        <v>1700679</v>
      </c>
      <c r="I90" s="17">
        <f t="shared" si="1"/>
        <v>48082.669543000004</v>
      </c>
      <c r="J90" s="17">
        <f t="shared" si="1"/>
        <v>73144.302015999987</v>
      </c>
      <c r="K90" s="16">
        <f t="shared" si="1"/>
        <v>1715629</v>
      </c>
      <c r="L90" s="16">
        <f t="shared" si="1"/>
        <v>1496895</v>
      </c>
      <c r="M90" s="17">
        <f t="shared" si="1"/>
        <v>49167.345732000009</v>
      </c>
      <c r="N90" s="17">
        <f t="shared" si="1"/>
        <v>72307.457217999996</v>
      </c>
    </row>
    <row r="91" spans="1:17" ht="41.25" customHeight="1" x14ac:dyDescent="0.25">
      <c r="A91" s="34" t="s">
        <v>98</v>
      </c>
      <c r="B91" s="34"/>
      <c r="C91" s="18">
        <f t="shared" ref="C91:N91" si="2">C13+C90</f>
        <v>2620102</v>
      </c>
      <c r="D91" s="18">
        <f t="shared" si="2"/>
        <v>3039402</v>
      </c>
      <c r="E91" s="19">
        <f t="shared" si="2"/>
        <v>52137.435565000007</v>
      </c>
      <c r="F91" s="19">
        <f t="shared" si="2"/>
        <v>83627.104419999974</v>
      </c>
      <c r="G91" s="18">
        <f t="shared" si="2"/>
        <v>2946087</v>
      </c>
      <c r="H91" s="18">
        <f t="shared" si="2"/>
        <v>3124452</v>
      </c>
      <c r="I91" s="19">
        <f t="shared" si="2"/>
        <v>54886.883433000003</v>
      </c>
      <c r="J91" s="19">
        <f t="shared" si="2"/>
        <v>89307.29570599999</v>
      </c>
      <c r="K91" s="18">
        <f t="shared" si="2"/>
        <v>3182830</v>
      </c>
      <c r="L91" s="18">
        <f t="shared" si="2"/>
        <v>2741344</v>
      </c>
      <c r="M91" s="19">
        <f t="shared" si="2"/>
        <v>58114.725252000011</v>
      </c>
      <c r="N91" s="19">
        <f t="shared" si="2"/>
        <v>87686.709008000005</v>
      </c>
    </row>
    <row r="92" spans="1:17" s="6" customFormat="1" ht="30.75" customHeight="1" x14ac:dyDescent="0.3">
      <c r="A92" s="27" t="s">
        <v>99</v>
      </c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9"/>
    </row>
    <row r="93" spans="1:17" s="6" customFormat="1" ht="21" customHeight="1" x14ac:dyDescent="0.3">
      <c r="A93" s="26" t="s">
        <v>28</v>
      </c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</row>
    <row r="94" spans="1:17" ht="18.75" customHeight="1" x14ac:dyDescent="0.25"/>
    <row r="95" spans="1:17" ht="18.75" customHeight="1" x14ac:dyDescent="0.25"/>
    <row r="96" spans="1:17" ht="18.75" customHeight="1" x14ac:dyDescent="0.25"/>
  </sheetData>
  <mergeCells count="14">
    <mergeCell ref="A93:N93"/>
    <mergeCell ref="A92:N92"/>
    <mergeCell ref="A5:N5"/>
    <mergeCell ref="A13:B13"/>
    <mergeCell ref="A14:N14"/>
    <mergeCell ref="A90:B90"/>
    <mergeCell ref="A91:B91"/>
    <mergeCell ref="A1:N1"/>
    <mergeCell ref="A2:N2"/>
    <mergeCell ref="A3:A4"/>
    <mergeCell ref="B3:B4"/>
    <mergeCell ref="C3:F3"/>
    <mergeCell ref="G3:J3"/>
    <mergeCell ref="K3:N3"/>
  </mergeCells>
  <printOptions horizontalCentered="1"/>
  <pageMargins left="0" right="0" top="3.937007874015748E-2" bottom="3.937007874015748E-2" header="0.31496062992125984" footer="0.31496062992125984"/>
  <pageSetup scale="46" fitToHeight="2" orientation="landscape" r:id="rId1"/>
  <headerFooter>
    <oddFooter>Page &amp;P of &amp;N</oddFooter>
  </headerFooter>
  <rowBreaks count="2" manualBreakCount="2">
    <brk id="42" max="13" man="1"/>
    <brk id="71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MONTHWISE</vt:lpstr>
      <vt:lpstr>MONTHWISE!Print_Area</vt:lpstr>
      <vt:lpstr>MONTHWISE!Print_Titles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2024-08-30T07:36:45Z</dcterms:modified>
</cp:coreProperties>
</file>