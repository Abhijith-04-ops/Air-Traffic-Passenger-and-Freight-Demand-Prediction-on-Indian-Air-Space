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712BD4F-6B60-422D-8985-6FC14481A9B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NTHWISE" sheetId="2" r:id="rId1"/>
  </sheets>
  <definedNames>
    <definedName name="_">#REF!</definedName>
    <definedName name="_xlnm._FilterDatabase" localSheetId="0" hidden="1">MONTHWISE!#REF!</definedName>
    <definedName name="_xlnm.Print_Area" localSheetId="0">MONTHWISE!$A$1:$N$89</definedName>
    <definedName name="Print_Area_1">#REF!</definedName>
    <definedName name="Print_Area_2">#REF!</definedName>
    <definedName name="Print_Area_3">#REF!</definedName>
    <definedName name="_xlnm.Print_Titles" localSheetId="0">MONTHWISE!$A:$B,MONTHWISE!$1:$4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D12" i="2"/>
  <c r="E12" i="2"/>
  <c r="F12" i="2"/>
  <c r="G12" i="2"/>
  <c r="H12" i="2"/>
  <c r="I12" i="2"/>
  <c r="J12" i="2"/>
  <c r="K12" i="2"/>
  <c r="L12" i="2"/>
  <c r="M12" i="2"/>
  <c r="N12" i="2"/>
  <c r="D86" i="2"/>
  <c r="E86" i="2"/>
  <c r="F86" i="2"/>
  <c r="G86" i="2"/>
  <c r="H86" i="2"/>
  <c r="I86" i="2"/>
  <c r="J86" i="2"/>
  <c r="K86" i="2"/>
  <c r="L86" i="2"/>
  <c r="M86" i="2"/>
  <c r="N86" i="2"/>
  <c r="C86" i="2"/>
  <c r="D87" i="2" l="1"/>
  <c r="E87" i="2"/>
  <c r="F87" i="2"/>
  <c r="G87" i="2"/>
  <c r="H87" i="2"/>
  <c r="I87" i="2"/>
  <c r="J87" i="2"/>
  <c r="K87" i="2"/>
  <c r="L87" i="2"/>
  <c r="M87" i="2"/>
  <c r="N87" i="2"/>
  <c r="C87" i="2" l="1"/>
</calcChain>
</file>

<file path=xl/sharedStrings.xml><?xml version="1.0" encoding="utf-8"?>
<sst xmlns="http://schemas.openxmlformats.org/spreadsheetml/2006/main" count="104" uniqueCount="96">
  <si>
    <t>NAME OF THE AIRLINE</t>
  </si>
  <si>
    <t>DOMESTIC CARRIERS</t>
  </si>
  <si>
    <t>AIR INDIA</t>
  </si>
  <si>
    <t>TOTAL (DOMESTIC CARRIERS)</t>
  </si>
  <si>
    <t xml:space="preserve">FOREIGN CARRIERS </t>
  </si>
  <si>
    <t>AEROFLOT</t>
  </si>
  <si>
    <t>AEROLOGIC</t>
  </si>
  <si>
    <t>AIR ARABIA</t>
  </si>
  <si>
    <t>BIMAN BANGLADESH</t>
  </si>
  <si>
    <t>CATHAY PACIFIC</t>
  </si>
  <si>
    <t>DRUK AIR</t>
  </si>
  <si>
    <t>ETIHAD AIRLINES</t>
  </si>
  <si>
    <t>FEDERAL EXPRESS</t>
  </si>
  <si>
    <t>IRAQI AIRWAYS</t>
  </si>
  <si>
    <t>ISLAND AVIATION SERVICES</t>
  </si>
  <si>
    <t>JAPAN AIRLINES</t>
  </si>
  <si>
    <t>KENYA AIRWAYS</t>
  </si>
  <si>
    <t>KOREAN AIR</t>
  </si>
  <si>
    <t>LUFTHANSA</t>
  </si>
  <si>
    <t>MAHAN AIR</t>
  </si>
  <si>
    <t>MALAYSIA AIRLINES</t>
  </si>
  <si>
    <t>OMAN AIR</t>
  </si>
  <si>
    <t>QATAR AIRWAYS</t>
  </si>
  <si>
    <t>TURKISH AIRLINES</t>
  </si>
  <si>
    <t>UNITED AIRLINES</t>
  </si>
  <si>
    <t>VIRGIN ATLANTIC AIRLINES</t>
  </si>
  <si>
    <t>YEMENIA AIRWAYS</t>
  </si>
  <si>
    <t>TOTAL (FOREIGN CARRIERS)</t>
  </si>
  <si>
    <t>TOTAL (DOMESTIC &amp; FOREIGN CARRIERS)</t>
  </si>
  <si>
    <t>(PASSENGERS IN NUMBER AND FREIGHT IN TONNES)</t>
  </si>
  <si>
    <t>PASSENGERS TO INDIA</t>
  </si>
  <si>
    <t>PASSENGERS FROM INDIA</t>
  </si>
  <si>
    <t>FREIGHT TO INDIA</t>
  </si>
  <si>
    <t>FREIGHT FROM INDIA</t>
  </si>
  <si>
    <t>P-Provisional</t>
  </si>
  <si>
    <t>SRILANKAN AIRWAYS</t>
  </si>
  <si>
    <t>SL. No.</t>
  </si>
  <si>
    <t>EMIRATES AIRLINE</t>
  </si>
  <si>
    <t>ETHIOPIAN AIRLINES</t>
  </si>
  <si>
    <t>GULF AIR</t>
  </si>
  <si>
    <t>SWISS AIR</t>
  </si>
  <si>
    <t>AIR CANADA</t>
  </si>
  <si>
    <t>AIR FRANCE</t>
  </si>
  <si>
    <t>KLM AIRLINES</t>
  </si>
  <si>
    <t>THAI AIRWAYS</t>
  </si>
  <si>
    <t>ALL NIPPON AIRWAYS</t>
  </si>
  <si>
    <t>AIR ASIA X</t>
  </si>
  <si>
    <t>AIR MAURITIUS</t>
  </si>
  <si>
    <t>KUWAIT AIRWAYS</t>
  </si>
  <si>
    <t>LOT POLISH</t>
  </si>
  <si>
    <t>MALINDO AIRWAYS</t>
  </si>
  <si>
    <t>FLY DUBAI</t>
  </si>
  <si>
    <t>MYANMAR AIRLINES</t>
  </si>
  <si>
    <t>NEPAL AIRLINES CORPORATION</t>
  </si>
  <si>
    <t>RWANDAIR</t>
  </si>
  <si>
    <t>AIR SEYCHELLES</t>
  </si>
  <si>
    <t>JAZEERA AIRWAYS</t>
  </si>
  <si>
    <t>EGYPT AIR</t>
  </si>
  <si>
    <t>AIR INDIA EXPRESS</t>
  </si>
  <si>
    <t>INDIGO</t>
  </si>
  <si>
    <t>SPICEJET</t>
  </si>
  <si>
    <t>AIR ASIA BERHAD</t>
  </si>
  <si>
    <t>CHINA AIRLINES LTD</t>
  </si>
  <si>
    <t>FINN AIR</t>
  </si>
  <si>
    <t>FLYNAS</t>
  </si>
  <si>
    <t>SCOOT TIGER AIR</t>
  </si>
  <si>
    <t>SINGAPORE AIRLINES</t>
  </si>
  <si>
    <t>UNITED PARCEL SERVICES</t>
  </si>
  <si>
    <t>US BANGLA AIRLINES</t>
  </si>
  <si>
    <t>AIR ARABIA-ABU DHABI</t>
  </si>
  <si>
    <t>AIR TANZANIA</t>
  </si>
  <si>
    <t>AMERICAN AIRLINES</t>
  </si>
  <si>
    <t>ARIANA AFGHAN</t>
  </si>
  <si>
    <t>NOVO AIR</t>
  </si>
  <si>
    <t>QANTAS AIRLINES</t>
  </si>
  <si>
    <t>SAUDIA</t>
  </si>
  <si>
    <t>THAI SMILE AIRWAYS</t>
  </si>
  <si>
    <t>BRITISH AIRWAYS</t>
  </si>
  <si>
    <t>THAI AIR ASIA</t>
  </si>
  <si>
    <t>THAI LION AIR</t>
  </si>
  <si>
    <t>VIETJET AIR</t>
  </si>
  <si>
    <t>AZERBAIJAN AIRLINES</t>
  </si>
  <si>
    <t>JULY</t>
  </si>
  <si>
    <t>AUGUST</t>
  </si>
  <si>
    <t>SEPTEMBER</t>
  </si>
  <si>
    <t>TABLE 2. AIRLINEWISE MONTHLY INTERNATIONAL TRAFFIC STATISTICS (SCHEDULED) FOR THE QUARTER JULY-SEPTEMBER 2023 (P)</t>
  </si>
  <si>
    <t>ALLIANCE AIR</t>
  </si>
  <si>
    <t>VISTARA</t>
  </si>
  <si>
    <t>AERO NOMAD</t>
  </si>
  <si>
    <t>BATIK AIR</t>
  </si>
  <si>
    <t>BHUTAN AIRLINES</t>
  </si>
  <si>
    <t>FLY BAGHDAD</t>
  </si>
  <si>
    <t>NEOS SPA</t>
  </si>
  <si>
    <t>VIETNAM AIRLINES</t>
  </si>
  <si>
    <t>Note: This table does not include the passengers and freight carried by domestic carriers entirely outside the Indian territory.</t>
  </si>
  <si>
    <t>UZBEKISTAN AIRWAYS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</si>
</sst>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sz val="20"/>
      <color theme="1"/>
      <name val="Times New Roman"/>
      <family val="1"/>
    </font>
    <font>
      <sz val="11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rgb="FFFF000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rgb="FFFF0000"/>
      <name val="Times New Roman"/>
      <family val="1"/>
    </font>
    <font>
      <b/>
      <sz val="15"/>
      <color theme="1"/>
      <name val="Times New Roman"/>
      <family val="1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4" fillId="0" borderId="0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/>
    <xf numFmtId="0" fontId="4" fillId="4" borderId="1" xfId="0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/>
    <xf numFmtId="164" fontId="8" fillId="0" borderId="1" xfId="0" applyNumberFormat="1" applyFont="1" applyBorder="1" applyAlignment="1"/>
    <xf numFmtId="0" fontId="8" fillId="0" borderId="1" xfId="0" applyFont="1" applyBorder="1" applyAlignment="1">
      <alignment wrapText="1"/>
    </xf>
    <xf numFmtId="164" fontId="8" fillId="0" borderId="1" xfId="0" applyNumberFormat="1" applyFont="1" applyFill="1" applyBorder="1" applyAlignment="1"/>
    <xf numFmtId="0" fontId="8" fillId="0" borderId="1" xfId="0" applyFont="1" applyFill="1" applyBorder="1" applyAlignment="1"/>
    <xf numFmtId="0" fontId="8" fillId="0" borderId="1" xfId="0" applyFont="1" applyFill="1" applyBorder="1" applyAlignment="1">
      <alignment horizontal="left" wrapText="1"/>
    </xf>
    <xf numFmtId="0" fontId="7" fillId="4" borderId="1" xfId="0" applyFont="1" applyFill="1" applyBorder="1" applyAlignment="1"/>
    <xf numFmtId="164" fontId="7" fillId="4" borderId="1" xfId="0" applyNumberFormat="1" applyFont="1" applyFill="1" applyBorder="1" applyAlignment="1"/>
    <xf numFmtId="0" fontId="7" fillId="3" borderId="1" xfId="0" applyFont="1" applyFill="1" applyBorder="1" applyAlignment="1"/>
    <xf numFmtId="164" fontId="7" fillId="3" borderId="1" xfId="0" applyNumberFormat="1" applyFont="1" applyFill="1" applyBorder="1" applyAlignment="1"/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NumberFormat="1"/>
    <xf numFmtId="0" fontId="11" fillId="6" borderId="5" xfId="0" applyNumberFormat="1" applyFont="1" applyFill="1" applyBorder="1"/>
    <xf numFmtId="0" fontId="10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4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2"/>
  <sheetViews>
    <sheetView tabSelected="1" view="pageBreakPreview" topLeftCell="A71" zoomScale="70" zoomScaleNormal="55" zoomScaleSheetLayoutView="70" workbookViewId="0">
      <selection activeCell="G80" sqref="G80:J80"/>
    </sheetView>
  </sheetViews>
  <sheetFormatPr defaultRowHeight="15" x14ac:dyDescent="0.25"/>
  <cols>
    <col min="1" max="1" width="9" style="1" customWidth="1"/>
    <col min="2" max="2" width="41.5703125" style="8" customWidth="1"/>
    <col min="3" max="3" width="16.7109375" style="1" customWidth="1"/>
    <col min="4" max="4" width="15.85546875" style="1" customWidth="1"/>
    <col min="5" max="6" width="16.7109375" style="1" customWidth="1"/>
    <col min="7" max="7" width="15.28515625" style="1" customWidth="1"/>
    <col min="8" max="8" width="16.7109375" style="1" customWidth="1"/>
    <col min="9" max="9" width="13.28515625" style="1" customWidth="1"/>
    <col min="10" max="11" width="16.7109375" style="1" customWidth="1"/>
    <col min="12" max="12" width="12.5703125" style="1" customWidth="1"/>
    <col min="13" max="13" width="12.28515625" style="1" customWidth="1"/>
    <col min="14" max="14" width="13.140625" style="1" customWidth="1"/>
    <col min="15" max="22" width="12.42578125" style="1" customWidth="1"/>
    <col min="23" max="16384" width="9.140625" style="1"/>
  </cols>
  <sheetData>
    <row r="1" spans="1:16" ht="52.5" customHeight="1" x14ac:dyDescent="0.25">
      <c r="A1" s="33" t="s">
        <v>85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6" s="2" customFormat="1" ht="25.5" customHeight="1" x14ac:dyDescent="0.25">
      <c r="A2" s="34" t="s">
        <v>29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6" ht="21" customHeight="1" x14ac:dyDescent="0.25">
      <c r="A3" s="35" t="s">
        <v>36</v>
      </c>
      <c r="B3" s="36" t="s">
        <v>0</v>
      </c>
      <c r="C3" s="35" t="s">
        <v>82</v>
      </c>
      <c r="D3" s="35"/>
      <c r="E3" s="35"/>
      <c r="F3" s="35"/>
      <c r="G3" s="35" t="s">
        <v>83</v>
      </c>
      <c r="H3" s="35"/>
      <c r="I3" s="35"/>
      <c r="J3" s="35"/>
      <c r="K3" s="35" t="s">
        <v>84</v>
      </c>
      <c r="L3" s="35"/>
      <c r="M3" s="35"/>
      <c r="N3" s="35"/>
    </row>
    <row r="4" spans="1:16" s="8" customFormat="1" ht="42" customHeight="1" x14ac:dyDescent="0.25">
      <c r="A4" s="35"/>
      <c r="B4" s="36"/>
      <c r="C4" s="21" t="s">
        <v>30</v>
      </c>
      <c r="D4" s="21" t="s">
        <v>31</v>
      </c>
      <c r="E4" s="21" t="s">
        <v>32</v>
      </c>
      <c r="F4" s="21" t="s">
        <v>33</v>
      </c>
      <c r="G4" s="21" t="s">
        <v>30</v>
      </c>
      <c r="H4" s="21" t="s">
        <v>31</v>
      </c>
      <c r="I4" s="21" t="s">
        <v>32</v>
      </c>
      <c r="J4" s="21" t="s">
        <v>33</v>
      </c>
      <c r="K4" s="21" t="s">
        <v>30</v>
      </c>
      <c r="L4" s="21" t="s">
        <v>31</v>
      </c>
      <c r="M4" s="21" t="s">
        <v>32</v>
      </c>
      <c r="N4" s="21" t="s">
        <v>33</v>
      </c>
    </row>
    <row r="5" spans="1:16" ht="27" customHeight="1" x14ac:dyDescent="0.25">
      <c r="A5" s="28" t="s">
        <v>1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</row>
    <row r="6" spans="1:16" s="4" customFormat="1" ht="19.5" customHeight="1" x14ac:dyDescent="0.25">
      <c r="A6" s="3">
        <v>1</v>
      </c>
      <c r="B6" s="10" t="s">
        <v>2</v>
      </c>
      <c r="C6" s="11">
        <v>347783</v>
      </c>
      <c r="D6" s="11">
        <v>342409</v>
      </c>
      <c r="E6" s="11">
        <v>3315.2</v>
      </c>
      <c r="F6" s="11">
        <v>5727.9160000000002</v>
      </c>
      <c r="G6" s="11">
        <v>314561</v>
      </c>
      <c r="H6" s="11">
        <v>365213</v>
      </c>
      <c r="I6" s="11">
        <v>3495.5473999999995</v>
      </c>
      <c r="J6" s="11">
        <v>6722.5621000000019</v>
      </c>
      <c r="K6" s="11">
        <v>308079</v>
      </c>
      <c r="L6" s="11">
        <v>346557</v>
      </c>
      <c r="M6" s="11">
        <v>4156.1817000000001</v>
      </c>
      <c r="N6" s="11">
        <v>7287.1046000000006</v>
      </c>
    </row>
    <row r="7" spans="1:16" s="4" customFormat="1" ht="19.5" customHeight="1" x14ac:dyDescent="0.25">
      <c r="A7" s="3">
        <v>2</v>
      </c>
      <c r="B7" s="10" t="s">
        <v>58</v>
      </c>
      <c r="C7" s="11">
        <v>213643</v>
      </c>
      <c r="D7" s="11">
        <v>193898</v>
      </c>
      <c r="E7" s="11">
        <v>71.563999999999993</v>
      </c>
      <c r="F7" s="11">
        <v>2070.36</v>
      </c>
      <c r="G7" s="11">
        <v>182424</v>
      </c>
      <c r="H7" s="11">
        <v>235120</v>
      </c>
      <c r="I7" s="11">
        <v>105.82299999999999</v>
      </c>
      <c r="J7" s="11">
        <v>2323.703</v>
      </c>
      <c r="K7" s="11">
        <v>145993</v>
      </c>
      <c r="L7" s="11">
        <v>220917</v>
      </c>
      <c r="M7" s="11">
        <v>57.27</v>
      </c>
      <c r="N7" s="11">
        <v>1871.7439999999999</v>
      </c>
    </row>
    <row r="8" spans="1:16" s="4" customFormat="1" ht="19.5" customHeight="1" x14ac:dyDescent="0.25">
      <c r="A8" s="3">
        <v>3</v>
      </c>
      <c r="B8" s="10" t="s">
        <v>86</v>
      </c>
      <c r="C8" s="11">
        <v>1419</v>
      </c>
      <c r="D8" s="11">
        <v>1294</v>
      </c>
      <c r="E8" s="11">
        <v>0</v>
      </c>
      <c r="F8" s="11">
        <v>0</v>
      </c>
      <c r="G8" s="11">
        <v>1878</v>
      </c>
      <c r="H8" s="11">
        <v>1685</v>
      </c>
      <c r="I8" s="11">
        <v>0</v>
      </c>
      <c r="J8" s="11">
        <v>0</v>
      </c>
      <c r="K8" s="11">
        <v>1539</v>
      </c>
      <c r="L8" s="11">
        <v>1596</v>
      </c>
      <c r="M8" s="11">
        <v>0</v>
      </c>
      <c r="N8" s="11">
        <v>0</v>
      </c>
    </row>
    <row r="9" spans="1:16" s="4" customFormat="1" ht="19.5" customHeight="1" x14ac:dyDescent="0.25">
      <c r="A9" s="3">
        <v>4</v>
      </c>
      <c r="B9" s="10" t="s">
        <v>59</v>
      </c>
      <c r="C9" s="11">
        <v>501715</v>
      </c>
      <c r="D9" s="11">
        <v>489494</v>
      </c>
      <c r="E9" s="11">
        <v>252.52799999999999</v>
      </c>
      <c r="F9" s="11">
        <v>2005.0540000000001</v>
      </c>
      <c r="G9" s="11">
        <v>443567</v>
      </c>
      <c r="H9" s="11">
        <v>547606</v>
      </c>
      <c r="I9" s="11">
        <v>340.29899999999998</v>
      </c>
      <c r="J9" s="11">
        <v>2004.463</v>
      </c>
      <c r="K9" s="11">
        <v>417570</v>
      </c>
      <c r="L9" s="11">
        <v>524448</v>
      </c>
      <c r="M9" s="11">
        <v>354.39100000000002</v>
      </c>
      <c r="N9" s="11">
        <v>1705.796</v>
      </c>
    </row>
    <row r="10" spans="1:16" s="4" customFormat="1" ht="19.5" customHeight="1" x14ac:dyDescent="0.25">
      <c r="A10" s="3">
        <v>5</v>
      </c>
      <c r="B10" s="10" t="s">
        <v>60</v>
      </c>
      <c r="C10" s="11">
        <v>69097</v>
      </c>
      <c r="D10" s="11">
        <v>65760</v>
      </c>
      <c r="E10" s="11">
        <v>31.480150000000002</v>
      </c>
      <c r="F10" s="11">
        <v>105.34711999999998</v>
      </c>
      <c r="G10" s="11">
        <v>59822</v>
      </c>
      <c r="H10" s="11">
        <v>80844</v>
      </c>
      <c r="I10" s="11">
        <v>29.721700000000002</v>
      </c>
      <c r="J10" s="11">
        <v>116.27743</v>
      </c>
      <c r="K10" s="11">
        <v>57313</v>
      </c>
      <c r="L10" s="11">
        <v>76714</v>
      </c>
      <c r="M10" s="11">
        <v>10.690060000000004</v>
      </c>
      <c r="N10" s="11">
        <v>146.25412</v>
      </c>
    </row>
    <row r="11" spans="1:16" s="4" customFormat="1" ht="19.5" customHeight="1" x14ac:dyDescent="0.25">
      <c r="A11" s="3">
        <v>6</v>
      </c>
      <c r="B11" s="13" t="s">
        <v>87</v>
      </c>
      <c r="C11" s="11">
        <v>92118</v>
      </c>
      <c r="D11" s="11">
        <v>81890</v>
      </c>
      <c r="E11" s="11">
        <v>668.04807000000005</v>
      </c>
      <c r="F11" s="11">
        <v>1384.42127</v>
      </c>
      <c r="G11" s="11">
        <v>80531</v>
      </c>
      <c r="H11" s="11">
        <v>90746</v>
      </c>
      <c r="I11" s="11">
        <v>715.77229</v>
      </c>
      <c r="J11" s="11">
        <v>1421.1252099999999</v>
      </c>
      <c r="K11" s="11">
        <v>78108</v>
      </c>
      <c r="L11" s="11">
        <v>91131</v>
      </c>
      <c r="M11" s="11">
        <v>664.47592000000009</v>
      </c>
      <c r="N11" s="11">
        <v>1396.9166699999998</v>
      </c>
    </row>
    <row r="12" spans="1:16" ht="31.5" customHeight="1" x14ac:dyDescent="0.25">
      <c r="A12" s="29" t="s">
        <v>3</v>
      </c>
      <c r="B12" s="29"/>
      <c r="C12" s="5">
        <f t="shared" ref="C12:N12" si="0">SUM(C6:C11)</f>
        <v>1225775</v>
      </c>
      <c r="D12" s="5">
        <f t="shared" si="0"/>
        <v>1174745</v>
      </c>
      <c r="E12" s="6">
        <f t="shared" si="0"/>
        <v>4338.8202199999996</v>
      </c>
      <c r="F12" s="6">
        <f t="shared" si="0"/>
        <v>11293.098390000001</v>
      </c>
      <c r="G12" s="5">
        <f t="shared" si="0"/>
        <v>1082783</v>
      </c>
      <c r="H12" s="5">
        <f t="shared" si="0"/>
        <v>1321214</v>
      </c>
      <c r="I12" s="6">
        <f t="shared" si="0"/>
        <v>4687.1633899999997</v>
      </c>
      <c r="J12" s="6">
        <f t="shared" si="0"/>
        <v>12588.130740000002</v>
      </c>
      <c r="K12" s="5">
        <f t="shared" si="0"/>
        <v>1008602</v>
      </c>
      <c r="L12" s="5">
        <f t="shared" si="0"/>
        <v>1261363</v>
      </c>
      <c r="M12" s="6">
        <f t="shared" si="0"/>
        <v>5243.0086799999999</v>
      </c>
      <c r="N12" s="6">
        <f t="shared" si="0"/>
        <v>12407.815390000002</v>
      </c>
    </row>
    <row r="13" spans="1:16" ht="28.5" customHeight="1" x14ac:dyDescent="0.25">
      <c r="A13" s="30" t="s">
        <v>4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</row>
    <row r="14" spans="1:16" ht="24.75" customHeight="1" x14ac:dyDescent="0.25">
      <c r="A14" s="9">
        <v>1</v>
      </c>
      <c r="B14" s="10" t="s">
        <v>88</v>
      </c>
      <c r="C14" s="11">
        <v>2196</v>
      </c>
      <c r="D14" s="11">
        <v>831</v>
      </c>
      <c r="E14" s="12">
        <v>0</v>
      </c>
      <c r="F14" s="12">
        <v>11.786</v>
      </c>
      <c r="G14" s="11">
        <v>287</v>
      </c>
      <c r="H14" s="11">
        <v>1187</v>
      </c>
      <c r="I14" s="12">
        <v>0</v>
      </c>
      <c r="J14" s="12">
        <v>3.3330000000000002</v>
      </c>
      <c r="K14" s="11">
        <v>368</v>
      </c>
      <c r="L14" s="11">
        <v>2828</v>
      </c>
      <c r="M14" s="12">
        <v>0</v>
      </c>
      <c r="N14" s="12">
        <v>5.0199999999999996</v>
      </c>
      <c r="O14" s="22"/>
      <c r="P14" s="22"/>
    </row>
    <row r="15" spans="1:16" ht="31.5" customHeight="1" x14ac:dyDescent="0.25">
      <c r="A15" s="9">
        <v>2</v>
      </c>
      <c r="B15" s="13" t="s">
        <v>5</v>
      </c>
      <c r="C15" s="11">
        <v>5035</v>
      </c>
      <c r="D15" s="11">
        <v>7528</v>
      </c>
      <c r="E15" s="14">
        <v>19.693000000000001</v>
      </c>
      <c r="F15" s="14">
        <v>207.83</v>
      </c>
      <c r="G15" s="11">
        <v>4785</v>
      </c>
      <c r="H15" s="11">
        <v>6715</v>
      </c>
      <c r="I15" s="12">
        <v>40.252000000000002</v>
      </c>
      <c r="J15" s="12">
        <v>157.47200000000001</v>
      </c>
      <c r="K15" s="11">
        <v>5348</v>
      </c>
      <c r="L15" s="11">
        <v>8018</v>
      </c>
      <c r="M15" s="12">
        <v>65.242999999999995</v>
      </c>
      <c r="N15" s="12">
        <v>170.55600000000001</v>
      </c>
      <c r="O15" s="22"/>
      <c r="P15" s="22"/>
    </row>
    <row r="16" spans="1:16" ht="31.5" customHeight="1" x14ac:dyDescent="0.25">
      <c r="A16" s="9">
        <v>3</v>
      </c>
      <c r="B16" s="10" t="s">
        <v>6</v>
      </c>
      <c r="C16" s="11">
        <v>0</v>
      </c>
      <c r="D16" s="11">
        <v>0</v>
      </c>
      <c r="E16" s="12">
        <v>5606.9870000000001</v>
      </c>
      <c r="F16" s="12">
        <v>6028.1890000000003</v>
      </c>
      <c r="G16" s="11">
        <v>0</v>
      </c>
      <c r="H16" s="11">
        <v>0</v>
      </c>
      <c r="I16" s="12">
        <v>5431.5379999999996</v>
      </c>
      <c r="J16" s="12">
        <v>6414.5469999999996</v>
      </c>
      <c r="K16" s="15">
        <v>0</v>
      </c>
      <c r="L16" s="15">
        <v>0</v>
      </c>
      <c r="M16" s="14">
        <v>5320.1049999999996</v>
      </c>
      <c r="N16" s="14">
        <v>6458.348</v>
      </c>
      <c r="O16" s="22"/>
      <c r="P16" s="22"/>
    </row>
    <row r="17" spans="1:20" ht="31.5" customHeight="1" x14ac:dyDescent="0.25">
      <c r="A17" s="9">
        <v>4</v>
      </c>
      <c r="B17" s="10" t="s">
        <v>7</v>
      </c>
      <c r="C17" s="11">
        <v>77371</v>
      </c>
      <c r="D17" s="11">
        <v>73370</v>
      </c>
      <c r="E17" s="12">
        <v>57.607999999999997</v>
      </c>
      <c r="F17" s="12">
        <v>948.56299999999999</v>
      </c>
      <c r="G17" s="11">
        <v>64701</v>
      </c>
      <c r="H17" s="11">
        <v>77765</v>
      </c>
      <c r="I17" s="12">
        <v>63.640999999999998</v>
      </c>
      <c r="J17" s="12">
        <v>901.32299999999998</v>
      </c>
      <c r="K17" s="11">
        <v>64074</v>
      </c>
      <c r="L17" s="11">
        <v>76395</v>
      </c>
      <c r="M17" s="12">
        <v>60.372</v>
      </c>
      <c r="N17" s="12">
        <v>2200.7809999999999</v>
      </c>
      <c r="O17" s="22"/>
      <c r="P17" s="22"/>
    </row>
    <row r="18" spans="1:20" ht="31.5" customHeight="1" x14ac:dyDescent="0.25">
      <c r="A18" s="9">
        <v>5</v>
      </c>
      <c r="B18" s="10" t="s">
        <v>69</v>
      </c>
      <c r="C18" s="11">
        <v>47399</v>
      </c>
      <c r="D18" s="11">
        <v>41089</v>
      </c>
      <c r="E18" s="12">
        <v>31.245999999999999</v>
      </c>
      <c r="F18" s="12">
        <v>473.28899999999999</v>
      </c>
      <c r="G18" s="11">
        <v>33526</v>
      </c>
      <c r="H18" s="11">
        <v>50643</v>
      </c>
      <c r="I18" s="12">
        <v>56.027000000000001</v>
      </c>
      <c r="J18" s="12">
        <v>381.19200000000001</v>
      </c>
      <c r="K18" s="11">
        <v>29379</v>
      </c>
      <c r="L18" s="11">
        <v>48749</v>
      </c>
      <c r="M18" s="12">
        <v>72.724000000000004</v>
      </c>
      <c r="N18" s="12">
        <v>327.94200000000001</v>
      </c>
      <c r="O18" s="22"/>
      <c r="P18" s="22"/>
    </row>
    <row r="19" spans="1:20" ht="31.5" customHeight="1" x14ac:dyDescent="0.25">
      <c r="A19" s="9">
        <v>6</v>
      </c>
      <c r="B19" s="10" t="s">
        <v>61</v>
      </c>
      <c r="C19" s="15">
        <v>39070</v>
      </c>
      <c r="D19" s="15">
        <v>42067</v>
      </c>
      <c r="E19" s="12">
        <v>95.513999999999996</v>
      </c>
      <c r="F19" s="12">
        <v>289.23700000000002</v>
      </c>
      <c r="G19" s="11">
        <v>38612</v>
      </c>
      <c r="H19" s="11">
        <v>38386</v>
      </c>
      <c r="I19" s="12">
        <v>102.34099999999999</v>
      </c>
      <c r="J19" s="12">
        <v>351.63499999999999</v>
      </c>
      <c r="K19" s="11">
        <v>33339</v>
      </c>
      <c r="L19" s="11">
        <v>39133</v>
      </c>
      <c r="M19" s="12">
        <v>136.18600000000001</v>
      </c>
      <c r="N19" s="12">
        <v>366.34</v>
      </c>
      <c r="O19" s="22"/>
      <c r="P19" s="22"/>
    </row>
    <row r="20" spans="1:20" s="7" customFormat="1" ht="27.95" customHeight="1" x14ac:dyDescent="0.25">
      <c r="A20" s="9">
        <v>7</v>
      </c>
      <c r="B20" s="16" t="s">
        <v>46</v>
      </c>
      <c r="C20" s="15">
        <v>5669</v>
      </c>
      <c r="D20" s="15">
        <v>5756</v>
      </c>
      <c r="E20" s="12">
        <v>230.11699999999999</v>
      </c>
      <c r="F20" s="12">
        <v>254.547</v>
      </c>
      <c r="G20" s="11">
        <v>5022</v>
      </c>
      <c r="H20" s="11">
        <v>5010</v>
      </c>
      <c r="I20" s="12">
        <v>238.358</v>
      </c>
      <c r="J20" s="12">
        <v>240.34100000000001</v>
      </c>
      <c r="K20" s="11">
        <v>4794</v>
      </c>
      <c r="L20" s="11">
        <v>5223</v>
      </c>
      <c r="M20" s="12">
        <v>244.839</v>
      </c>
      <c r="N20" s="12">
        <v>244.607</v>
      </c>
      <c r="O20" s="22"/>
      <c r="P20" s="22"/>
      <c r="Q20" s="1"/>
      <c r="R20" s="1"/>
      <c r="S20" s="1"/>
      <c r="T20" s="1"/>
    </row>
    <row r="21" spans="1:20" s="7" customFormat="1" ht="27.95" customHeight="1" x14ac:dyDescent="0.25">
      <c r="A21" s="9">
        <v>8</v>
      </c>
      <c r="B21" s="13" t="s">
        <v>41</v>
      </c>
      <c r="C21" s="11">
        <v>11665</v>
      </c>
      <c r="D21" s="11">
        <v>12317</v>
      </c>
      <c r="E21" s="12">
        <v>211.24299999999999</v>
      </c>
      <c r="F21" s="12">
        <v>223.239</v>
      </c>
      <c r="G21" s="15">
        <v>11867</v>
      </c>
      <c r="H21" s="15">
        <v>12675</v>
      </c>
      <c r="I21" s="14">
        <v>181.11799999999999</v>
      </c>
      <c r="J21" s="14">
        <v>203.18100000000001</v>
      </c>
      <c r="K21" s="15">
        <v>11954</v>
      </c>
      <c r="L21" s="15">
        <v>11984</v>
      </c>
      <c r="M21" s="14">
        <v>133</v>
      </c>
      <c r="N21" s="14">
        <v>241.67</v>
      </c>
      <c r="O21" s="22"/>
      <c r="P21" s="22"/>
      <c r="Q21" s="1"/>
      <c r="R21" s="1"/>
      <c r="S21" s="1"/>
      <c r="T21" s="1"/>
    </row>
    <row r="22" spans="1:20" s="7" customFormat="1" ht="27.95" customHeight="1" x14ac:dyDescent="0.25">
      <c r="A22" s="9">
        <v>9</v>
      </c>
      <c r="B22" s="10" t="s">
        <v>42</v>
      </c>
      <c r="C22" s="11">
        <v>26924</v>
      </c>
      <c r="D22" s="11">
        <v>28616</v>
      </c>
      <c r="E22" s="12">
        <v>1359.7760000000001</v>
      </c>
      <c r="F22" s="12">
        <v>1756.9090000000001</v>
      </c>
      <c r="G22" s="11">
        <v>21807</v>
      </c>
      <c r="H22" s="11">
        <v>28173</v>
      </c>
      <c r="I22" s="12">
        <v>1272.0940000000001</v>
      </c>
      <c r="J22" s="12">
        <v>1715.163</v>
      </c>
      <c r="K22" s="11">
        <v>20237</v>
      </c>
      <c r="L22" s="11">
        <v>27842</v>
      </c>
      <c r="M22" s="12">
        <v>786.452</v>
      </c>
      <c r="N22" s="12">
        <v>1096.904</v>
      </c>
      <c r="O22" s="22"/>
      <c r="P22" s="22"/>
      <c r="Q22" s="1"/>
      <c r="R22" s="1"/>
      <c r="S22" s="1"/>
      <c r="T22" s="1"/>
    </row>
    <row r="23" spans="1:20" s="7" customFormat="1" ht="27.75" customHeight="1" x14ac:dyDescent="0.25">
      <c r="A23" s="9">
        <v>10</v>
      </c>
      <c r="B23" s="10" t="s">
        <v>47</v>
      </c>
      <c r="C23" s="11">
        <v>6778</v>
      </c>
      <c r="D23" s="11">
        <v>6602</v>
      </c>
      <c r="E23" s="12">
        <v>6.819</v>
      </c>
      <c r="F23" s="12">
        <v>282.40600000000001</v>
      </c>
      <c r="G23" s="11">
        <v>6014</v>
      </c>
      <c r="H23" s="11">
        <v>6617</v>
      </c>
      <c r="I23" s="12">
        <v>9.5370000000000008</v>
      </c>
      <c r="J23" s="12">
        <v>354.06099999999998</v>
      </c>
      <c r="K23" s="11">
        <v>5730</v>
      </c>
      <c r="L23" s="11">
        <v>6057</v>
      </c>
      <c r="M23" s="12">
        <v>26.282</v>
      </c>
      <c r="N23" s="12">
        <v>336.87400000000002</v>
      </c>
      <c r="O23" s="22"/>
      <c r="P23" s="22"/>
      <c r="Q23" s="1"/>
      <c r="R23" s="1"/>
      <c r="S23" s="1"/>
      <c r="T23" s="1"/>
    </row>
    <row r="24" spans="1:20" s="7" customFormat="1" ht="27.75" customHeight="1" x14ac:dyDescent="0.25">
      <c r="A24" s="9">
        <v>11</v>
      </c>
      <c r="B24" s="10" t="s">
        <v>55</v>
      </c>
      <c r="C24" s="11">
        <v>964</v>
      </c>
      <c r="D24" s="11">
        <v>832</v>
      </c>
      <c r="E24" s="12">
        <v>5.0000000000000001E-3</v>
      </c>
      <c r="F24" s="12">
        <v>6.4420000000000002</v>
      </c>
      <c r="G24" s="11"/>
      <c r="H24" s="11"/>
      <c r="I24" s="12">
        <v>0</v>
      </c>
      <c r="J24" s="12">
        <v>0</v>
      </c>
      <c r="K24" s="11"/>
      <c r="L24" s="11"/>
      <c r="M24" s="12">
        <v>0</v>
      </c>
      <c r="N24" s="12">
        <v>0</v>
      </c>
      <c r="O24" s="22"/>
      <c r="P24" s="22"/>
      <c r="Q24" s="1"/>
      <c r="R24" s="1"/>
      <c r="S24" s="1"/>
      <c r="T24" s="1"/>
    </row>
    <row r="25" spans="1:20" s="7" customFormat="1" ht="27.75" customHeight="1" x14ac:dyDescent="0.25">
      <c r="A25" s="9">
        <v>12</v>
      </c>
      <c r="B25" s="16" t="s">
        <v>70</v>
      </c>
      <c r="C25" s="15">
        <v>2830</v>
      </c>
      <c r="D25" s="15">
        <v>3189</v>
      </c>
      <c r="E25" s="12">
        <v>1.7999999999999999E-2</v>
      </c>
      <c r="F25" s="12">
        <v>72.695899999999995</v>
      </c>
      <c r="G25" s="11">
        <v>2919</v>
      </c>
      <c r="H25" s="11">
        <v>3029</v>
      </c>
      <c r="I25" s="12">
        <v>0.33600000000000002</v>
      </c>
      <c r="J25" s="12">
        <v>72.485900000000001</v>
      </c>
      <c r="K25" s="11">
        <v>3622</v>
      </c>
      <c r="L25" s="11">
        <v>4406</v>
      </c>
      <c r="M25" s="12">
        <v>0</v>
      </c>
      <c r="N25" s="12">
        <v>213.67500000000001</v>
      </c>
      <c r="O25" s="22"/>
      <c r="P25" s="22"/>
      <c r="Q25" s="1"/>
      <c r="R25" s="1"/>
      <c r="S25" s="1"/>
      <c r="T25" s="1"/>
    </row>
    <row r="26" spans="1:20" s="7" customFormat="1" ht="27.75" customHeight="1" x14ac:dyDescent="0.25">
      <c r="A26" s="9">
        <v>13</v>
      </c>
      <c r="B26" s="10" t="s">
        <v>45</v>
      </c>
      <c r="C26" s="11">
        <v>3995</v>
      </c>
      <c r="D26" s="11">
        <v>4877</v>
      </c>
      <c r="E26" s="12">
        <v>374.89</v>
      </c>
      <c r="F26" s="12">
        <v>412.351</v>
      </c>
      <c r="G26" s="11">
        <v>3620</v>
      </c>
      <c r="H26" s="11">
        <v>5835</v>
      </c>
      <c r="I26" s="12">
        <v>376.87900000000002</v>
      </c>
      <c r="J26" s="12">
        <v>386.44600000000003</v>
      </c>
      <c r="K26" s="11">
        <v>4137</v>
      </c>
      <c r="L26" s="11">
        <v>5791</v>
      </c>
      <c r="M26" s="12">
        <v>330.81</v>
      </c>
      <c r="N26" s="12">
        <v>456.02499999999998</v>
      </c>
      <c r="O26" s="22"/>
      <c r="P26" s="22"/>
      <c r="Q26" s="1"/>
      <c r="R26" s="1"/>
      <c r="S26" s="1"/>
      <c r="T26" s="1"/>
    </row>
    <row r="27" spans="1:20" s="7" customFormat="1" ht="27.75" customHeight="1" x14ac:dyDescent="0.25">
      <c r="A27" s="9">
        <v>14</v>
      </c>
      <c r="B27" s="10" t="s">
        <v>71</v>
      </c>
      <c r="C27" s="11">
        <v>6654</v>
      </c>
      <c r="D27" s="11">
        <v>7669</v>
      </c>
      <c r="E27" s="12">
        <v>76.932400000000001</v>
      </c>
      <c r="F27" s="12">
        <v>83.497</v>
      </c>
      <c r="G27" s="11">
        <v>5305</v>
      </c>
      <c r="H27" s="11">
        <v>8288</v>
      </c>
      <c r="I27" s="12">
        <v>88.319000000000003</v>
      </c>
      <c r="J27" s="12">
        <v>59.650100000000002</v>
      </c>
      <c r="K27" s="11">
        <v>5806</v>
      </c>
      <c r="L27" s="11">
        <v>6136</v>
      </c>
      <c r="M27" s="12">
        <v>100.2942</v>
      </c>
      <c r="N27" s="12">
        <v>105.248</v>
      </c>
      <c r="O27" s="22"/>
      <c r="P27" s="22"/>
      <c r="Q27" s="1"/>
      <c r="R27" s="1"/>
      <c r="S27" s="1"/>
      <c r="T27" s="1"/>
    </row>
    <row r="28" spans="1:20" s="7" customFormat="1" ht="27.75" customHeight="1" x14ac:dyDescent="0.25">
      <c r="A28" s="9">
        <v>15</v>
      </c>
      <c r="B28" s="10" t="s">
        <v>72</v>
      </c>
      <c r="C28" s="11">
        <v>0</v>
      </c>
      <c r="D28" s="11">
        <v>0</v>
      </c>
      <c r="E28" s="12">
        <v>0</v>
      </c>
      <c r="F28" s="12">
        <v>47.396999999999998</v>
      </c>
      <c r="G28" s="11">
        <v>0</v>
      </c>
      <c r="H28" s="11">
        <v>0</v>
      </c>
      <c r="I28" s="12">
        <v>0</v>
      </c>
      <c r="J28" s="12">
        <v>11.241</v>
      </c>
      <c r="K28" s="11">
        <v>0</v>
      </c>
      <c r="L28" s="11">
        <v>0</v>
      </c>
      <c r="M28" s="12">
        <v>1.607</v>
      </c>
      <c r="N28" s="12">
        <v>36.186999999999998</v>
      </c>
      <c r="O28" s="22"/>
      <c r="P28" s="22"/>
      <c r="Q28" s="1"/>
      <c r="R28" s="1"/>
      <c r="S28" s="1"/>
      <c r="T28" s="1"/>
    </row>
    <row r="29" spans="1:20" s="7" customFormat="1" ht="27.75" customHeight="1" x14ac:dyDescent="0.25">
      <c r="A29" s="9">
        <v>16</v>
      </c>
      <c r="B29" s="10" t="s">
        <v>81</v>
      </c>
      <c r="C29" s="11">
        <v>1599</v>
      </c>
      <c r="D29" s="11">
        <v>1366</v>
      </c>
      <c r="E29" s="12">
        <v>0</v>
      </c>
      <c r="F29" s="12">
        <v>18.052</v>
      </c>
      <c r="G29" s="11">
        <v>2322</v>
      </c>
      <c r="H29" s="11">
        <v>2124</v>
      </c>
      <c r="I29" s="12">
        <v>8.9999999999999993E-3</v>
      </c>
      <c r="J29" s="12">
        <v>17.991</v>
      </c>
      <c r="K29" s="11">
        <v>1847</v>
      </c>
      <c r="L29" s="11">
        <v>1957</v>
      </c>
      <c r="M29" s="12">
        <v>0</v>
      </c>
      <c r="N29" s="12">
        <v>18.565000000000001</v>
      </c>
      <c r="O29" s="22"/>
      <c r="P29" s="22"/>
      <c r="Q29" s="1"/>
      <c r="R29" s="1"/>
      <c r="S29" s="1"/>
      <c r="T29" s="1"/>
    </row>
    <row r="30" spans="1:20" s="7" customFormat="1" ht="27.75" customHeight="1" x14ac:dyDescent="0.25">
      <c r="A30" s="9">
        <v>17</v>
      </c>
      <c r="B30" s="10" t="s">
        <v>89</v>
      </c>
      <c r="C30" s="11"/>
      <c r="D30" s="11"/>
      <c r="E30" s="12">
        <v>0</v>
      </c>
      <c r="F30" s="12">
        <v>0</v>
      </c>
      <c r="G30" s="11"/>
      <c r="H30" s="11"/>
      <c r="I30" s="12">
        <v>0</v>
      </c>
      <c r="J30" s="12">
        <v>0</v>
      </c>
      <c r="K30" s="11">
        <v>3023</v>
      </c>
      <c r="L30" s="11">
        <v>3431</v>
      </c>
      <c r="M30" s="12">
        <v>0</v>
      </c>
      <c r="N30" s="12">
        <v>0</v>
      </c>
      <c r="O30" s="22"/>
      <c r="P30" s="22"/>
      <c r="Q30" s="1"/>
      <c r="R30" s="1"/>
      <c r="S30" s="1"/>
      <c r="T30" s="1"/>
    </row>
    <row r="31" spans="1:20" s="7" customFormat="1" ht="27.75" customHeight="1" x14ac:dyDescent="0.25">
      <c r="A31" s="9">
        <v>18</v>
      </c>
      <c r="B31" s="10" t="s">
        <v>90</v>
      </c>
      <c r="C31" s="11">
        <v>1312</v>
      </c>
      <c r="D31" s="11">
        <v>1281</v>
      </c>
      <c r="E31" s="12">
        <v>0</v>
      </c>
      <c r="F31" s="12">
        <v>0</v>
      </c>
      <c r="G31" s="11">
        <v>1221</v>
      </c>
      <c r="H31" s="11">
        <v>1360</v>
      </c>
      <c r="I31" s="12">
        <v>0</v>
      </c>
      <c r="J31" s="12">
        <v>0</v>
      </c>
      <c r="K31" s="11">
        <v>2398</v>
      </c>
      <c r="L31" s="11">
        <v>656</v>
      </c>
      <c r="M31" s="14">
        <v>0</v>
      </c>
      <c r="N31" s="14">
        <v>0</v>
      </c>
      <c r="O31" s="22"/>
      <c r="P31" s="22"/>
      <c r="Q31" s="1"/>
      <c r="R31" s="1"/>
      <c r="S31" s="1"/>
      <c r="T31" s="1"/>
    </row>
    <row r="32" spans="1:20" s="7" customFormat="1" ht="27.75" customHeight="1" x14ac:dyDescent="0.25">
      <c r="A32" s="9">
        <v>19</v>
      </c>
      <c r="B32" s="10" t="s">
        <v>8</v>
      </c>
      <c r="C32" s="11">
        <v>8639</v>
      </c>
      <c r="D32" s="11">
        <v>8655</v>
      </c>
      <c r="E32" s="12">
        <v>5.9160000000000004</v>
      </c>
      <c r="F32" s="12">
        <v>41.037999999999997</v>
      </c>
      <c r="G32" s="11">
        <v>7330</v>
      </c>
      <c r="H32" s="11">
        <v>7958</v>
      </c>
      <c r="I32" s="12">
        <v>56.216999999999999</v>
      </c>
      <c r="J32" s="12">
        <v>53.768999999999998</v>
      </c>
      <c r="K32" s="11">
        <v>6780</v>
      </c>
      <c r="L32" s="11">
        <v>7644</v>
      </c>
      <c r="M32" s="12">
        <v>27.614999999999998</v>
      </c>
      <c r="N32" s="12">
        <v>53.948999999999998</v>
      </c>
      <c r="O32" s="22"/>
      <c r="P32" s="22"/>
      <c r="Q32" s="1"/>
      <c r="R32" s="1"/>
      <c r="S32" s="1"/>
      <c r="T32" s="1"/>
    </row>
    <row r="33" spans="1:20" s="7" customFormat="1" ht="27.75" customHeight="1" x14ac:dyDescent="0.25">
      <c r="A33" s="9">
        <v>20</v>
      </c>
      <c r="B33" s="10" t="s">
        <v>77</v>
      </c>
      <c r="C33" s="11">
        <v>39010</v>
      </c>
      <c r="D33" s="11">
        <v>37392</v>
      </c>
      <c r="E33" s="12">
        <v>1446.43</v>
      </c>
      <c r="F33" s="12">
        <v>2356.09</v>
      </c>
      <c r="G33" s="15">
        <v>41015</v>
      </c>
      <c r="H33" s="15">
        <v>56879</v>
      </c>
      <c r="I33" s="12">
        <v>1287.54</v>
      </c>
      <c r="J33" s="12">
        <v>3010.74</v>
      </c>
      <c r="K33" s="11">
        <v>41154</v>
      </c>
      <c r="L33" s="11">
        <v>53808</v>
      </c>
      <c r="M33" s="12">
        <v>1455.12</v>
      </c>
      <c r="N33" s="12">
        <v>2799.85</v>
      </c>
      <c r="O33" s="22"/>
      <c r="P33" s="22"/>
      <c r="Q33" s="1"/>
      <c r="R33" s="1"/>
      <c r="S33" s="1"/>
      <c r="T33" s="1"/>
    </row>
    <row r="34" spans="1:20" s="7" customFormat="1" ht="27.75" customHeight="1" x14ac:dyDescent="0.25">
      <c r="A34" s="9">
        <v>21</v>
      </c>
      <c r="B34" s="10" t="s">
        <v>9</v>
      </c>
      <c r="C34" s="11">
        <v>27979</v>
      </c>
      <c r="D34" s="11">
        <v>27144</v>
      </c>
      <c r="E34" s="12">
        <v>7325.5045999999993</v>
      </c>
      <c r="F34" s="12">
        <v>2435.44346</v>
      </c>
      <c r="G34" s="15">
        <v>23300</v>
      </c>
      <c r="H34" s="15">
        <v>31547</v>
      </c>
      <c r="I34" s="12">
        <v>8565.6324000000004</v>
      </c>
      <c r="J34" s="12">
        <v>2566.0827100000001</v>
      </c>
      <c r="K34" s="11">
        <v>26502</v>
      </c>
      <c r="L34" s="11">
        <v>26820</v>
      </c>
      <c r="M34" s="12">
        <v>6797.4616999999998</v>
      </c>
      <c r="N34" s="12">
        <v>2732.7296000000001</v>
      </c>
      <c r="O34" s="22"/>
      <c r="P34" s="22"/>
      <c r="Q34" s="1"/>
      <c r="R34" s="1"/>
      <c r="S34" s="1"/>
      <c r="T34" s="1"/>
    </row>
    <row r="35" spans="1:20" s="7" customFormat="1" ht="27.75" customHeight="1" x14ac:dyDescent="0.25">
      <c r="A35" s="9">
        <v>22</v>
      </c>
      <c r="B35" s="13" t="s">
        <v>62</v>
      </c>
      <c r="C35" s="11">
        <v>0</v>
      </c>
      <c r="D35" s="11">
        <v>0</v>
      </c>
      <c r="E35" s="12">
        <v>71.575000000000003</v>
      </c>
      <c r="F35" s="12">
        <v>81.694000000000003</v>
      </c>
      <c r="G35" s="11">
        <v>0</v>
      </c>
      <c r="H35" s="11">
        <v>0</v>
      </c>
      <c r="I35" s="12">
        <v>32.890999999999998</v>
      </c>
      <c r="J35" s="12">
        <v>79.08</v>
      </c>
      <c r="K35" s="11">
        <v>0</v>
      </c>
      <c r="L35" s="11">
        <v>0</v>
      </c>
      <c r="M35" s="12">
        <v>80.760000000000005</v>
      </c>
      <c r="N35" s="12">
        <v>79.932000000000002</v>
      </c>
      <c r="O35" s="22"/>
      <c r="P35" s="22"/>
      <c r="Q35" s="1"/>
      <c r="R35" s="1"/>
      <c r="S35" s="1"/>
      <c r="T35" s="1"/>
    </row>
    <row r="36" spans="1:20" s="7" customFormat="1" ht="27.95" customHeight="1" x14ac:dyDescent="0.25">
      <c r="A36" s="9">
        <v>23</v>
      </c>
      <c r="B36" s="10" t="s">
        <v>10</v>
      </c>
      <c r="C36" s="11">
        <v>2988</v>
      </c>
      <c r="D36" s="11">
        <v>2659</v>
      </c>
      <c r="E36" s="12">
        <v>0.28560000000000002</v>
      </c>
      <c r="F36" s="12">
        <v>3.5841800000000004</v>
      </c>
      <c r="G36" s="11">
        <v>2664</v>
      </c>
      <c r="H36" s="11">
        <v>2039</v>
      </c>
      <c r="I36" s="12">
        <v>0.25490000000000002</v>
      </c>
      <c r="J36" s="12">
        <v>3.4198000000000004</v>
      </c>
      <c r="K36" s="11">
        <v>3031</v>
      </c>
      <c r="L36" s="11">
        <v>3023</v>
      </c>
      <c r="M36" s="12">
        <v>0.28249999999999997</v>
      </c>
      <c r="N36" s="12">
        <v>3.2234000000000003</v>
      </c>
      <c r="O36" s="22"/>
      <c r="P36" s="22"/>
      <c r="Q36" s="1"/>
      <c r="R36" s="1"/>
      <c r="S36" s="1"/>
      <c r="T36" s="1"/>
    </row>
    <row r="37" spans="1:20" s="7" customFormat="1" ht="27.95" customHeight="1" x14ac:dyDescent="0.25">
      <c r="A37" s="9">
        <v>24</v>
      </c>
      <c r="B37" s="10" t="s">
        <v>57</v>
      </c>
      <c r="C37" s="11">
        <v>1862</v>
      </c>
      <c r="D37" s="11">
        <v>1632</v>
      </c>
      <c r="E37" s="12">
        <v>92.027000000000001</v>
      </c>
      <c r="F37" s="12">
        <v>332.94200000000001</v>
      </c>
      <c r="G37" s="11">
        <v>2724</v>
      </c>
      <c r="H37" s="11">
        <v>4329</v>
      </c>
      <c r="I37" s="12">
        <v>39.732999999999997</v>
      </c>
      <c r="J37" s="12">
        <v>357.577</v>
      </c>
      <c r="K37" s="11">
        <v>2456</v>
      </c>
      <c r="L37" s="11">
        <v>3982</v>
      </c>
      <c r="M37" s="12">
        <v>29.997</v>
      </c>
      <c r="N37" s="12">
        <v>404.08100000000002</v>
      </c>
      <c r="O37" s="22"/>
      <c r="P37" s="22"/>
      <c r="Q37" s="1"/>
      <c r="R37" s="1"/>
      <c r="S37" s="1"/>
      <c r="T37" s="1"/>
    </row>
    <row r="38" spans="1:20" s="7" customFormat="1" ht="27.95" customHeight="1" x14ac:dyDescent="0.25">
      <c r="A38" s="9">
        <v>25</v>
      </c>
      <c r="B38" s="16" t="s">
        <v>37</v>
      </c>
      <c r="C38" s="11">
        <v>249788</v>
      </c>
      <c r="D38" s="11">
        <v>236753</v>
      </c>
      <c r="E38" s="12">
        <v>5172.3670720000009</v>
      </c>
      <c r="F38" s="12">
        <v>8992.0917279999994</v>
      </c>
      <c r="G38" s="15">
        <v>189744</v>
      </c>
      <c r="H38" s="15">
        <v>258620</v>
      </c>
      <c r="I38" s="12">
        <v>4285.5872369999997</v>
      </c>
      <c r="J38" s="12">
        <v>9691.2008620000015</v>
      </c>
      <c r="K38" s="11">
        <v>178205</v>
      </c>
      <c r="L38" s="11">
        <v>246499</v>
      </c>
      <c r="M38" s="12">
        <v>4009.784799</v>
      </c>
      <c r="N38" s="12">
        <v>9916.4726800000008</v>
      </c>
      <c r="O38" s="22"/>
      <c r="P38" s="22"/>
      <c r="Q38" s="1"/>
      <c r="R38" s="1"/>
      <c r="S38" s="1"/>
      <c r="T38" s="1"/>
    </row>
    <row r="39" spans="1:20" s="7" customFormat="1" ht="27.95" customHeight="1" x14ac:dyDescent="0.25">
      <c r="A39" s="9">
        <v>26</v>
      </c>
      <c r="B39" s="13" t="s">
        <v>38</v>
      </c>
      <c r="C39" s="11">
        <v>18049</v>
      </c>
      <c r="D39" s="11">
        <v>20005</v>
      </c>
      <c r="E39" s="12">
        <v>114.5</v>
      </c>
      <c r="F39" s="12">
        <v>1099.3219999999999</v>
      </c>
      <c r="G39" s="11">
        <v>19196</v>
      </c>
      <c r="H39" s="11">
        <v>21717</v>
      </c>
      <c r="I39" s="12">
        <v>173.07900000000001</v>
      </c>
      <c r="J39" s="12">
        <v>1228.82</v>
      </c>
      <c r="K39" s="11">
        <v>16528</v>
      </c>
      <c r="L39" s="11">
        <v>20095</v>
      </c>
      <c r="M39" s="12">
        <v>54.816000000000003</v>
      </c>
      <c r="N39" s="12">
        <v>303.50900000000001</v>
      </c>
      <c r="O39" s="22"/>
      <c r="P39" s="22"/>
      <c r="Q39" s="1"/>
      <c r="R39" s="1"/>
      <c r="S39" s="1"/>
      <c r="T39" s="1"/>
    </row>
    <row r="40" spans="1:20" s="7" customFormat="1" ht="27.95" customHeight="1" x14ac:dyDescent="0.25">
      <c r="A40" s="9">
        <v>27</v>
      </c>
      <c r="B40" s="10" t="s">
        <v>11</v>
      </c>
      <c r="C40" s="11">
        <v>81320</v>
      </c>
      <c r="D40" s="11">
        <v>71847</v>
      </c>
      <c r="E40" s="12">
        <v>1032.0054</v>
      </c>
      <c r="F40" s="12">
        <v>1787.4190000000001</v>
      </c>
      <c r="G40" s="11">
        <v>69023</v>
      </c>
      <c r="H40" s="11">
        <v>86761</v>
      </c>
      <c r="I40" s="12">
        <v>1142.8568</v>
      </c>
      <c r="J40" s="12">
        <v>2153.6329999999998</v>
      </c>
      <c r="K40" s="11">
        <v>69635</v>
      </c>
      <c r="L40" s="11">
        <v>93433</v>
      </c>
      <c r="M40" s="12">
        <v>1057.6534999999999</v>
      </c>
      <c r="N40" s="12">
        <v>1874.4459999999999</v>
      </c>
      <c r="O40" s="22"/>
      <c r="P40" s="22"/>
      <c r="Q40" s="1"/>
      <c r="R40" s="1"/>
      <c r="S40" s="1"/>
      <c r="T40" s="1"/>
    </row>
    <row r="41" spans="1:20" s="7" customFormat="1" ht="27.95" customHeight="1" x14ac:dyDescent="0.25">
      <c r="A41" s="9">
        <v>28</v>
      </c>
      <c r="B41" s="10" t="s">
        <v>12</v>
      </c>
      <c r="C41" s="11">
        <v>0</v>
      </c>
      <c r="D41" s="11">
        <v>0</v>
      </c>
      <c r="E41" s="12">
        <v>1196.5229999999999</v>
      </c>
      <c r="F41" s="12">
        <v>2221.8380000000002</v>
      </c>
      <c r="G41" s="11">
        <v>0</v>
      </c>
      <c r="H41" s="11">
        <v>0</v>
      </c>
      <c r="I41" s="12">
        <v>1374.96</v>
      </c>
      <c r="J41" s="12">
        <v>2303.0279999999998</v>
      </c>
      <c r="K41" s="11">
        <v>0</v>
      </c>
      <c r="L41" s="11">
        <v>0</v>
      </c>
      <c r="M41" s="12">
        <v>990.91800000000001</v>
      </c>
      <c r="N41" s="12">
        <v>1888.1420000000001</v>
      </c>
      <c r="O41" s="22"/>
      <c r="P41" s="22"/>
      <c r="Q41" s="1"/>
      <c r="R41" s="1"/>
      <c r="S41" s="1"/>
      <c r="T41" s="1"/>
    </row>
    <row r="42" spans="1:20" s="7" customFormat="1" ht="27.95" customHeight="1" x14ac:dyDescent="0.25">
      <c r="A42" s="9">
        <v>29</v>
      </c>
      <c r="B42" s="10" t="s">
        <v>63</v>
      </c>
      <c r="C42" s="11">
        <v>6617</v>
      </c>
      <c r="D42" s="11">
        <v>6006</v>
      </c>
      <c r="E42" s="12">
        <v>151.011</v>
      </c>
      <c r="F42" s="12">
        <v>421.39</v>
      </c>
      <c r="G42" s="11">
        <v>4256</v>
      </c>
      <c r="H42" s="11">
        <v>8185</v>
      </c>
      <c r="I42" s="12">
        <v>127.017</v>
      </c>
      <c r="J42" s="12">
        <v>462.17399999999998</v>
      </c>
      <c r="K42" s="11">
        <v>4934</v>
      </c>
      <c r="L42" s="11">
        <v>7064</v>
      </c>
      <c r="M42" s="14">
        <v>147.482</v>
      </c>
      <c r="N42" s="14">
        <v>463.24599999999998</v>
      </c>
      <c r="O42" s="22"/>
      <c r="P42" s="22"/>
      <c r="Q42" s="1"/>
      <c r="R42" s="1"/>
      <c r="S42" s="1"/>
      <c r="T42" s="1"/>
    </row>
    <row r="43" spans="1:20" s="7" customFormat="1" ht="27.95" customHeight="1" x14ac:dyDescent="0.25">
      <c r="A43" s="9">
        <v>30</v>
      </c>
      <c r="B43" s="10" t="s">
        <v>91</v>
      </c>
      <c r="C43" s="11">
        <v>1166</v>
      </c>
      <c r="D43" s="11">
        <v>997</v>
      </c>
      <c r="E43" s="12">
        <v>0</v>
      </c>
      <c r="F43" s="12">
        <v>0</v>
      </c>
      <c r="G43" s="11">
        <v>1026</v>
      </c>
      <c r="H43" s="11">
        <v>1508</v>
      </c>
      <c r="I43" s="12">
        <v>0</v>
      </c>
      <c r="J43" s="12">
        <v>0</v>
      </c>
      <c r="K43" s="11">
        <v>1574</v>
      </c>
      <c r="L43" s="11">
        <v>1199</v>
      </c>
      <c r="M43" s="14">
        <v>0</v>
      </c>
      <c r="N43" s="14">
        <v>0</v>
      </c>
      <c r="O43" s="22"/>
      <c r="P43" s="22"/>
      <c r="Q43" s="1"/>
      <c r="R43" s="1"/>
      <c r="S43" s="1"/>
      <c r="T43" s="1"/>
    </row>
    <row r="44" spans="1:20" s="7" customFormat="1" ht="27.95" customHeight="1" x14ac:dyDescent="0.25">
      <c r="A44" s="9">
        <v>31</v>
      </c>
      <c r="B44" s="10" t="s">
        <v>51</v>
      </c>
      <c r="C44" s="11">
        <v>21938</v>
      </c>
      <c r="D44" s="11">
        <v>20060</v>
      </c>
      <c r="E44" s="12">
        <v>41.953000000000003</v>
      </c>
      <c r="F44" s="12">
        <v>181.99299999999999</v>
      </c>
      <c r="G44" s="11">
        <v>17832</v>
      </c>
      <c r="H44" s="11">
        <v>22348</v>
      </c>
      <c r="I44" s="12">
        <v>17.536000000000001</v>
      </c>
      <c r="J44" s="12">
        <v>181.613</v>
      </c>
      <c r="K44" s="11">
        <v>17988</v>
      </c>
      <c r="L44" s="11">
        <v>21829</v>
      </c>
      <c r="M44" s="14">
        <v>17.527999999999999</v>
      </c>
      <c r="N44" s="14">
        <v>161.833</v>
      </c>
      <c r="O44" s="22"/>
      <c r="P44" s="22"/>
      <c r="Q44" s="1"/>
      <c r="R44" s="1"/>
      <c r="S44" s="1"/>
      <c r="T44" s="1"/>
    </row>
    <row r="45" spans="1:20" s="7" customFormat="1" ht="27.95" customHeight="1" x14ac:dyDescent="0.25">
      <c r="A45" s="9">
        <v>32</v>
      </c>
      <c r="B45" s="10" t="s">
        <v>64</v>
      </c>
      <c r="C45" s="11">
        <v>17347</v>
      </c>
      <c r="D45" s="11">
        <v>15188</v>
      </c>
      <c r="E45" s="12">
        <v>25.760999999999999</v>
      </c>
      <c r="F45" s="12">
        <v>149.75899999999999</v>
      </c>
      <c r="G45" s="11">
        <v>11489</v>
      </c>
      <c r="H45" s="11">
        <v>18553</v>
      </c>
      <c r="I45" s="12">
        <v>33.941000000000003</v>
      </c>
      <c r="J45" s="12">
        <v>141.65600000000001</v>
      </c>
      <c r="K45" s="11">
        <v>11269</v>
      </c>
      <c r="L45" s="11">
        <v>18238</v>
      </c>
      <c r="M45" s="14">
        <v>34.493000000000002</v>
      </c>
      <c r="N45" s="14">
        <v>118.399</v>
      </c>
      <c r="O45" s="22"/>
      <c r="P45" s="22"/>
      <c r="Q45" s="1"/>
      <c r="R45" s="1"/>
      <c r="S45" s="1"/>
      <c r="T45" s="1"/>
    </row>
    <row r="46" spans="1:20" s="7" customFormat="1" ht="27.95" customHeight="1" x14ac:dyDescent="0.25">
      <c r="A46" s="9">
        <v>33</v>
      </c>
      <c r="B46" s="10" t="s">
        <v>39</v>
      </c>
      <c r="C46" s="11">
        <v>45547</v>
      </c>
      <c r="D46" s="11">
        <v>44671</v>
      </c>
      <c r="E46" s="12">
        <v>16.224</v>
      </c>
      <c r="F46" s="12">
        <v>494.73099999999999</v>
      </c>
      <c r="G46" s="11">
        <v>31431</v>
      </c>
      <c r="H46" s="11">
        <v>51741</v>
      </c>
      <c r="I46" s="12">
        <v>17.954999999999998</v>
      </c>
      <c r="J46" s="12">
        <v>402.08100000000002</v>
      </c>
      <c r="K46" s="11">
        <v>29747</v>
      </c>
      <c r="L46" s="11">
        <v>49501</v>
      </c>
      <c r="M46" s="14">
        <v>18.283999999999999</v>
      </c>
      <c r="N46" s="14">
        <v>444.178</v>
      </c>
      <c r="O46" s="22"/>
      <c r="P46" s="22"/>
      <c r="Q46" s="1"/>
      <c r="R46" s="1"/>
      <c r="S46" s="1"/>
      <c r="T46" s="1"/>
    </row>
    <row r="47" spans="1:20" s="7" customFormat="1" ht="27.95" customHeight="1" x14ac:dyDescent="0.25">
      <c r="A47" s="9">
        <v>34</v>
      </c>
      <c r="B47" s="10" t="s">
        <v>13</v>
      </c>
      <c r="C47" s="11">
        <v>2700</v>
      </c>
      <c r="D47" s="11">
        <v>2389</v>
      </c>
      <c r="E47" s="12">
        <v>0.12</v>
      </c>
      <c r="F47" s="12">
        <v>1.3</v>
      </c>
      <c r="G47" s="11">
        <v>2701</v>
      </c>
      <c r="H47" s="11">
        <v>2659</v>
      </c>
      <c r="I47" s="12">
        <v>0.12</v>
      </c>
      <c r="J47" s="12">
        <v>1.6</v>
      </c>
      <c r="K47" s="11">
        <v>2665</v>
      </c>
      <c r="L47" s="11">
        <v>2986</v>
      </c>
      <c r="M47" s="14">
        <v>0.12</v>
      </c>
      <c r="N47" s="14">
        <v>1.5</v>
      </c>
      <c r="O47" s="22"/>
      <c r="P47" s="22"/>
      <c r="Q47" s="1"/>
      <c r="R47" s="1"/>
      <c r="S47" s="1"/>
      <c r="T47" s="1"/>
    </row>
    <row r="48" spans="1:20" s="7" customFormat="1" ht="27.95" customHeight="1" x14ac:dyDescent="0.25">
      <c r="A48" s="9">
        <v>35</v>
      </c>
      <c r="B48" s="10" t="s">
        <v>14</v>
      </c>
      <c r="C48" s="11">
        <v>6261</v>
      </c>
      <c r="D48" s="11">
        <v>6759</v>
      </c>
      <c r="E48" s="12">
        <v>3.4000000000000002E-2</v>
      </c>
      <c r="F48" s="12">
        <v>73.629000000000005</v>
      </c>
      <c r="G48" s="11">
        <v>4020</v>
      </c>
      <c r="H48" s="11">
        <v>5404</v>
      </c>
      <c r="I48" s="12">
        <v>0.02</v>
      </c>
      <c r="J48" s="12">
        <v>80.426000000000002</v>
      </c>
      <c r="K48" s="11">
        <v>2549</v>
      </c>
      <c r="L48" s="11">
        <v>3192</v>
      </c>
      <c r="M48" s="14">
        <v>2E-3</v>
      </c>
      <c r="N48" s="14">
        <v>49.692999999999998</v>
      </c>
      <c r="O48" s="22"/>
      <c r="P48" s="22"/>
      <c r="Q48" s="1"/>
      <c r="R48" s="1"/>
      <c r="S48" s="1"/>
      <c r="T48" s="1"/>
    </row>
    <row r="49" spans="1:20" s="7" customFormat="1" ht="27.95" customHeight="1" x14ac:dyDescent="0.25">
      <c r="A49" s="9">
        <v>36</v>
      </c>
      <c r="B49" s="10" t="s">
        <v>15</v>
      </c>
      <c r="C49" s="11">
        <v>4555</v>
      </c>
      <c r="D49" s="11">
        <v>5741</v>
      </c>
      <c r="E49" s="12">
        <v>504.42099999999999</v>
      </c>
      <c r="F49" s="12">
        <v>187.69499999999999</v>
      </c>
      <c r="G49" s="11">
        <v>4175</v>
      </c>
      <c r="H49" s="11">
        <v>6415</v>
      </c>
      <c r="I49" s="12">
        <v>522.79</v>
      </c>
      <c r="J49" s="12">
        <v>182.84100000000001</v>
      </c>
      <c r="K49" s="11">
        <v>4320</v>
      </c>
      <c r="L49" s="11">
        <v>5992</v>
      </c>
      <c r="M49" s="14">
        <v>476.92</v>
      </c>
      <c r="N49" s="14">
        <v>205.97</v>
      </c>
      <c r="O49" s="22"/>
      <c r="P49" s="22"/>
      <c r="Q49" s="1"/>
      <c r="R49" s="1"/>
      <c r="S49" s="1"/>
      <c r="T49" s="1"/>
    </row>
    <row r="50" spans="1:20" s="7" customFormat="1" ht="27.95" customHeight="1" x14ac:dyDescent="0.25">
      <c r="A50" s="9">
        <v>37</v>
      </c>
      <c r="B50" s="10" t="s">
        <v>56</v>
      </c>
      <c r="C50" s="11">
        <v>15910</v>
      </c>
      <c r="D50" s="11">
        <v>13593</v>
      </c>
      <c r="E50" s="12">
        <v>12.398999999999999</v>
      </c>
      <c r="F50" s="12">
        <v>212.32229999999998</v>
      </c>
      <c r="G50" s="11">
        <v>11583</v>
      </c>
      <c r="H50" s="11">
        <v>16373</v>
      </c>
      <c r="I50" s="12">
        <v>5.3005000000000004</v>
      </c>
      <c r="J50" s="12">
        <v>206.36199999999999</v>
      </c>
      <c r="K50" s="11">
        <v>20654</v>
      </c>
      <c r="L50" s="11">
        <v>27482</v>
      </c>
      <c r="M50" s="14">
        <v>9.2859999999999996</v>
      </c>
      <c r="N50" s="14">
        <v>307.98</v>
      </c>
      <c r="O50" s="22"/>
      <c r="P50" s="22"/>
      <c r="Q50" s="1"/>
      <c r="R50" s="1"/>
      <c r="S50" s="1"/>
      <c r="T50" s="1"/>
    </row>
    <row r="51" spans="1:20" s="7" customFormat="1" ht="27.95" customHeight="1" x14ac:dyDescent="0.25">
      <c r="A51" s="9">
        <v>38</v>
      </c>
      <c r="B51" s="10" t="s">
        <v>16</v>
      </c>
      <c r="C51" s="11">
        <v>8073</v>
      </c>
      <c r="D51" s="11">
        <v>8137</v>
      </c>
      <c r="E51" s="12">
        <v>1.008</v>
      </c>
      <c r="F51" s="12">
        <v>34.386000000000003</v>
      </c>
      <c r="G51" s="11">
        <v>7924</v>
      </c>
      <c r="H51" s="11">
        <v>8319</v>
      </c>
      <c r="I51" s="12">
        <v>0.93600000000000005</v>
      </c>
      <c r="J51" s="12">
        <v>41.942</v>
      </c>
      <c r="K51" s="11">
        <v>6919</v>
      </c>
      <c r="L51" s="11">
        <v>6939</v>
      </c>
      <c r="M51" s="14">
        <v>1.105</v>
      </c>
      <c r="N51" s="14">
        <v>46.155999999999999</v>
      </c>
      <c r="O51" s="22"/>
      <c r="P51" s="22"/>
      <c r="Q51" s="1"/>
      <c r="R51" s="1"/>
      <c r="S51" s="1"/>
      <c r="T51" s="1"/>
    </row>
    <row r="52" spans="1:20" s="7" customFormat="1" ht="27.95" customHeight="1" x14ac:dyDescent="0.25">
      <c r="A52" s="9">
        <v>39</v>
      </c>
      <c r="B52" s="10" t="s">
        <v>43</v>
      </c>
      <c r="C52" s="11">
        <v>21320</v>
      </c>
      <c r="D52" s="11">
        <v>22571</v>
      </c>
      <c r="E52" s="12">
        <v>802.95100000000002</v>
      </c>
      <c r="F52" s="12">
        <v>902.41</v>
      </c>
      <c r="G52" s="11">
        <v>16829</v>
      </c>
      <c r="H52" s="11">
        <v>21791</v>
      </c>
      <c r="I52" s="12">
        <v>852.64599999999996</v>
      </c>
      <c r="J52" s="12">
        <v>881.221</v>
      </c>
      <c r="K52" s="11">
        <v>17247</v>
      </c>
      <c r="L52" s="11">
        <v>21553</v>
      </c>
      <c r="M52" s="14">
        <v>992.45399999999995</v>
      </c>
      <c r="N52" s="14">
        <v>998.55600000000004</v>
      </c>
      <c r="O52" s="22"/>
      <c r="P52" s="22"/>
      <c r="Q52" s="1"/>
      <c r="R52" s="1"/>
      <c r="S52" s="1"/>
      <c r="T52" s="1"/>
    </row>
    <row r="53" spans="1:20" s="7" customFormat="1" ht="27.95" customHeight="1" x14ac:dyDescent="0.25">
      <c r="A53" s="9">
        <v>40</v>
      </c>
      <c r="B53" s="10" t="s">
        <v>17</v>
      </c>
      <c r="C53" s="11">
        <v>2614</v>
      </c>
      <c r="D53" s="11">
        <v>2502</v>
      </c>
      <c r="E53" s="12">
        <v>555.06100000000004</v>
      </c>
      <c r="F53" s="12">
        <v>546.87599999999998</v>
      </c>
      <c r="G53" s="11">
        <v>1320</v>
      </c>
      <c r="H53" s="11">
        <v>2724</v>
      </c>
      <c r="I53" s="12">
        <v>412.06900000000002</v>
      </c>
      <c r="J53" s="12">
        <v>478.50900000000001</v>
      </c>
      <c r="K53" s="11"/>
      <c r="L53" s="11"/>
      <c r="M53" s="12">
        <v>0</v>
      </c>
      <c r="N53" s="12">
        <v>0</v>
      </c>
      <c r="O53" s="22"/>
      <c r="P53" s="22"/>
      <c r="Q53" s="1"/>
      <c r="R53" s="1"/>
      <c r="S53" s="1"/>
      <c r="T53" s="1"/>
    </row>
    <row r="54" spans="1:20" s="7" customFormat="1" ht="27.95" customHeight="1" x14ac:dyDescent="0.25">
      <c r="A54" s="9">
        <v>41</v>
      </c>
      <c r="B54" s="10" t="s">
        <v>48</v>
      </c>
      <c r="C54" s="11">
        <v>24764</v>
      </c>
      <c r="D54" s="11">
        <v>26361</v>
      </c>
      <c r="E54" s="12">
        <v>0</v>
      </c>
      <c r="F54" s="12">
        <v>690.75900000000001</v>
      </c>
      <c r="G54" s="11">
        <v>16033</v>
      </c>
      <c r="H54" s="11">
        <v>29517</v>
      </c>
      <c r="I54" s="12">
        <v>0</v>
      </c>
      <c r="J54" s="12">
        <v>989.72699999999998</v>
      </c>
      <c r="K54" s="11">
        <v>13705</v>
      </c>
      <c r="L54" s="11">
        <v>26000</v>
      </c>
      <c r="M54" s="12">
        <v>0</v>
      </c>
      <c r="N54" s="12">
        <v>819.33600000000001</v>
      </c>
      <c r="O54" s="22"/>
      <c r="P54" s="22"/>
      <c r="Q54" s="1"/>
      <c r="R54" s="1"/>
      <c r="S54" s="1"/>
      <c r="T54" s="1"/>
    </row>
    <row r="55" spans="1:20" s="7" customFormat="1" ht="27.95" customHeight="1" x14ac:dyDescent="0.25">
      <c r="A55" s="9">
        <v>42</v>
      </c>
      <c r="B55" s="10" t="s">
        <v>49</v>
      </c>
      <c r="C55" s="11">
        <v>4356</v>
      </c>
      <c r="D55" s="11">
        <v>4593</v>
      </c>
      <c r="E55" s="12">
        <v>65.650999999999996</v>
      </c>
      <c r="F55" s="12">
        <v>375.45499999999998</v>
      </c>
      <c r="G55" s="11">
        <v>3121</v>
      </c>
      <c r="H55" s="11">
        <v>5686</v>
      </c>
      <c r="I55" s="12">
        <v>42.667000000000002</v>
      </c>
      <c r="J55" s="12">
        <v>282.37099999999998</v>
      </c>
      <c r="K55" s="11">
        <v>2720</v>
      </c>
      <c r="L55" s="11">
        <v>4622</v>
      </c>
      <c r="M55" s="12">
        <v>41.411999999999999</v>
      </c>
      <c r="N55" s="12">
        <v>295.86799999999999</v>
      </c>
      <c r="O55" s="22"/>
      <c r="P55" s="22"/>
      <c r="Q55" s="1"/>
      <c r="R55" s="1"/>
      <c r="S55" s="1"/>
      <c r="T55" s="1"/>
    </row>
    <row r="56" spans="1:20" s="7" customFormat="1" ht="27.95" customHeight="1" x14ac:dyDescent="0.25">
      <c r="A56" s="9">
        <v>43</v>
      </c>
      <c r="B56" s="10" t="s">
        <v>18</v>
      </c>
      <c r="C56" s="11">
        <v>50712</v>
      </c>
      <c r="D56" s="11">
        <v>50393</v>
      </c>
      <c r="E56" s="12">
        <v>2389.7020000000002</v>
      </c>
      <c r="F56" s="12">
        <v>2348.3969999999999</v>
      </c>
      <c r="G56" s="11">
        <v>36920</v>
      </c>
      <c r="H56" s="11">
        <v>48436</v>
      </c>
      <c r="I56" s="12">
        <v>2214.5650000000001</v>
      </c>
      <c r="J56" s="12">
        <v>1921.3130000000001</v>
      </c>
      <c r="K56" s="11">
        <v>40249</v>
      </c>
      <c r="L56" s="11">
        <v>50339</v>
      </c>
      <c r="M56" s="12">
        <v>2106.9690000000001</v>
      </c>
      <c r="N56" s="12">
        <v>2289.9380000000001</v>
      </c>
      <c r="O56" s="22"/>
      <c r="P56" s="22"/>
      <c r="Q56" s="1"/>
      <c r="R56" s="1"/>
      <c r="S56" s="1"/>
      <c r="T56" s="1"/>
    </row>
    <row r="57" spans="1:20" s="7" customFormat="1" ht="27.95" customHeight="1" x14ac:dyDescent="0.25">
      <c r="A57" s="9">
        <v>44</v>
      </c>
      <c r="B57" s="10" t="s">
        <v>19</v>
      </c>
      <c r="C57" s="11">
        <v>1336</v>
      </c>
      <c r="D57" s="11">
        <v>624</v>
      </c>
      <c r="E57" s="12">
        <v>12.167999999999999</v>
      </c>
      <c r="F57" s="12">
        <v>39.728999999999999</v>
      </c>
      <c r="G57" s="11">
        <v>1370</v>
      </c>
      <c r="H57" s="11">
        <v>1271</v>
      </c>
      <c r="I57" s="12">
        <v>8.0050600000000003</v>
      </c>
      <c r="J57" s="12">
        <v>45.395000000000003</v>
      </c>
      <c r="K57" s="11">
        <v>987</v>
      </c>
      <c r="L57" s="11">
        <v>763</v>
      </c>
      <c r="M57" s="12">
        <v>0.82399999999999995</v>
      </c>
      <c r="N57" s="12">
        <v>19.748699999999999</v>
      </c>
      <c r="O57" s="22"/>
      <c r="P57" s="22"/>
      <c r="Q57" s="1"/>
      <c r="R57" s="1"/>
      <c r="S57" s="1"/>
      <c r="T57" s="1"/>
    </row>
    <row r="58" spans="1:20" s="7" customFormat="1" ht="27.95" customHeight="1" x14ac:dyDescent="0.25">
      <c r="A58" s="9">
        <v>45</v>
      </c>
      <c r="B58" s="10" t="s">
        <v>20</v>
      </c>
      <c r="C58" s="11">
        <v>37260</v>
      </c>
      <c r="D58" s="11">
        <v>42089</v>
      </c>
      <c r="E58" s="12">
        <v>1281.8689999999999</v>
      </c>
      <c r="F58" s="12">
        <v>1333.7760000000001</v>
      </c>
      <c r="G58" s="11">
        <v>36833</v>
      </c>
      <c r="H58" s="11">
        <v>39344</v>
      </c>
      <c r="I58" s="12">
        <v>1059.8330000000001</v>
      </c>
      <c r="J58" s="12">
        <v>1086.04</v>
      </c>
      <c r="K58" s="11">
        <v>34843</v>
      </c>
      <c r="L58" s="11">
        <v>37489</v>
      </c>
      <c r="M58" s="12">
        <v>1029.3030000000001</v>
      </c>
      <c r="N58" s="12">
        <v>1060.287</v>
      </c>
      <c r="O58" s="22"/>
      <c r="P58" s="22"/>
      <c r="Q58" s="1"/>
      <c r="R58" s="1"/>
      <c r="S58" s="1"/>
      <c r="T58" s="1"/>
    </row>
    <row r="59" spans="1:20" s="7" customFormat="1" ht="27.95" customHeight="1" x14ac:dyDescent="0.25">
      <c r="A59" s="9">
        <v>46</v>
      </c>
      <c r="B59" s="10" t="s">
        <v>50</v>
      </c>
      <c r="C59" s="11">
        <v>17547</v>
      </c>
      <c r="D59" s="11">
        <v>19445</v>
      </c>
      <c r="E59" s="12">
        <v>22.762</v>
      </c>
      <c r="F59" s="12">
        <v>48.853000000000002</v>
      </c>
      <c r="G59" s="11">
        <v>17151</v>
      </c>
      <c r="H59" s="11">
        <v>16609</v>
      </c>
      <c r="I59" s="12">
        <v>23.686</v>
      </c>
      <c r="J59" s="12">
        <v>66.373000000000005</v>
      </c>
      <c r="K59" s="11">
        <v>16256</v>
      </c>
      <c r="L59" s="11">
        <v>17145</v>
      </c>
      <c r="M59" s="12">
        <v>42.512999999999998</v>
      </c>
      <c r="N59" s="12">
        <v>56.94</v>
      </c>
      <c r="O59" s="22"/>
      <c r="P59" s="22"/>
      <c r="Q59" s="1"/>
      <c r="R59" s="1"/>
      <c r="S59" s="1"/>
      <c r="T59" s="1"/>
    </row>
    <row r="60" spans="1:20" s="7" customFormat="1" ht="27.95" customHeight="1" x14ac:dyDescent="0.25">
      <c r="A60" s="9">
        <v>47</v>
      </c>
      <c r="B60" s="10" t="s">
        <v>52</v>
      </c>
      <c r="C60" s="11">
        <v>1266</v>
      </c>
      <c r="D60" s="11">
        <v>929</v>
      </c>
      <c r="E60" s="12">
        <v>1.8120000000000001</v>
      </c>
      <c r="F60" s="12">
        <v>9.9280000000000008</v>
      </c>
      <c r="G60" s="11">
        <v>1173</v>
      </c>
      <c r="H60" s="11">
        <v>786</v>
      </c>
      <c r="I60" s="12">
        <v>0.81200000000000006</v>
      </c>
      <c r="J60" s="12">
        <v>9.9920000000000009</v>
      </c>
      <c r="K60" s="11">
        <v>894</v>
      </c>
      <c r="L60" s="11">
        <v>749</v>
      </c>
      <c r="M60" s="12">
        <v>7.5780000000000003</v>
      </c>
      <c r="N60" s="12">
        <v>8.8130000000000006</v>
      </c>
      <c r="O60" s="22"/>
      <c r="P60" s="22"/>
      <c r="Q60" s="1"/>
      <c r="R60" s="1"/>
      <c r="S60" s="1"/>
      <c r="T60" s="1"/>
    </row>
    <row r="61" spans="1:20" s="7" customFormat="1" ht="27.95" customHeight="1" x14ac:dyDescent="0.25">
      <c r="A61" s="9">
        <v>48</v>
      </c>
      <c r="B61" s="10" t="s">
        <v>92</v>
      </c>
      <c r="C61" s="11">
        <v>2707</v>
      </c>
      <c r="D61" s="11">
        <v>2773</v>
      </c>
      <c r="E61" s="12">
        <v>0</v>
      </c>
      <c r="F61" s="12">
        <v>0</v>
      </c>
      <c r="G61" s="11">
        <v>7998</v>
      </c>
      <c r="H61" s="11">
        <v>840</v>
      </c>
      <c r="I61" s="12">
        <v>0</v>
      </c>
      <c r="J61" s="12">
        <v>0</v>
      </c>
      <c r="K61" s="11">
        <v>2619</v>
      </c>
      <c r="L61" s="11">
        <v>3285</v>
      </c>
      <c r="M61" s="12">
        <v>0</v>
      </c>
      <c r="N61" s="12">
        <v>0</v>
      </c>
      <c r="O61" s="22"/>
      <c r="P61" s="22"/>
      <c r="Q61" s="1"/>
      <c r="R61" s="1"/>
      <c r="S61" s="1"/>
      <c r="T61" s="1"/>
    </row>
    <row r="62" spans="1:20" s="7" customFormat="1" ht="27.95" customHeight="1" x14ac:dyDescent="0.25">
      <c r="A62" s="9">
        <v>49</v>
      </c>
      <c r="B62" s="10" t="s">
        <v>53</v>
      </c>
      <c r="C62" s="11">
        <v>7798</v>
      </c>
      <c r="D62" s="11">
        <v>4816</v>
      </c>
      <c r="E62" s="12">
        <v>85.394000000000005</v>
      </c>
      <c r="F62" s="12">
        <v>17.213000000000001</v>
      </c>
      <c r="G62" s="11">
        <v>8898</v>
      </c>
      <c r="H62" s="11">
        <v>8087</v>
      </c>
      <c r="I62" s="12">
        <v>101.73699999999999</v>
      </c>
      <c r="J62" s="12">
        <v>9.8190000000000008</v>
      </c>
      <c r="K62" s="11">
        <v>8201</v>
      </c>
      <c r="L62" s="11">
        <v>8012</v>
      </c>
      <c r="M62" s="12">
        <v>52.968000000000004</v>
      </c>
      <c r="N62" s="12">
        <v>15.292999999999999</v>
      </c>
      <c r="O62" s="22"/>
      <c r="P62" s="22"/>
      <c r="Q62" s="1"/>
      <c r="R62" s="1"/>
      <c r="S62" s="1"/>
      <c r="T62" s="1"/>
    </row>
    <row r="63" spans="1:20" s="7" customFormat="1" ht="27.95" customHeight="1" x14ac:dyDescent="0.25">
      <c r="A63" s="9">
        <v>50</v>
      </c>
      <c r="B63" s="10" t="s">
        <v>73</v>
      </c>
      <c r="C63" s="11">
        <v>2140</v>
      </c>
      <c r="D63" s="11">
        <v>2223</v>
      </c>
      <c r="E63" s="12">
        <v>0</v>
      </c>
      <c r="F63" s="12">
        <v>0</v>
      </c>
      <c r="G63" s="11">
        <v>1755</v>
      </c>
      <c r="H63" s="11">
        <v>2016</v>
      </c>
      <c r="I63" s="12">
        <v>0</v>
      </c>
      <c r="J63" s="12">
        <v>0</v>
      </c>
      <c r="K63" s="11">
        <v>1634</v>
      </c>
      <c r="L63" s="11">
        <v>1875</v>
      </c>
      <c r="M63" s="12">
        <v>0</v>
      </c>
      <c r="N63" s="12">
        <v>0</v>
      </c>
      <c r="O63" s="22"/>
      <c r="P63" s="22"/>
      <c r="Q63" s="1"/>
      <c r="R63" s="1"/>
      <c r="S63" s="1"/>
      <c r="T63" s="1"/>
    </row>
    <row r="64" spans="1:20" s="7" customFormat="1" ht="27.95" customHeight="1" x14ac:dyDescent="0.25">
      <c r="A64" s="9">
        <v>51</v>
      </c>
      <c r="B64" s="10" t="s">
        <v>21</v>
      </c>
      <c r="C64" s="11">
        <v>59707</v>
      </c>
      <c r="D64" s="11">
        <v>61219</v>
      </c>
      <c r="E64" s="12">
        <v>582.75141000000008</v>
      </c>
      <c r="F64" s="12">
        <v>1235.3663900000001</v>
      </c>
      <c r="G64" s="11">
        <v>36079</v>
      </c>
      <c r="H64" s="11">
        <v>73794</v>
      </c>
      <c r="I64" s="12">
        <v>489.45029999999997</v>
      </c>
      <c r="J64" s="12">
        <v>1145.5724</v>
      </c>
      <c r="K64" s="11">
        <v>32525</v>
      </c>
      <c r="L64" s="11">
        <v>68518</v>
      </c>
      <c r="M64" s="12">
        <v>548.31130000000007</v>
      </c>
      <c r="N64" s="12">
        <v>1067.5388</v>
      </c>
      <c r="O64" s="22"/>
      <c r="P64" s="22"/>
      <c r="Q64" s="1"/>
      <c r="R64" s="1"/>
      <c r="S64" s="1"/>
      <c r="T64" s="1"/>
    </row>
    <row r="65" spans="1:20" s="7" customFormat="1" ht="27.95" customHeight="1" x14ac:dyDescent="0.25">
      <c r="A65" s="9">
        <v>52</v>
      </c>
      <c r="B65" s="10" t="s">
        <v>74</v>
      </c>
      <c r="C65" s="11">
        <v>2676</v>
      </c>
      <c r="D65" s="11">
        <v>3101</v>
      </c>
      <c r="E65" s="12">
        <v>1.8140000000000001</v>
      </c>
      <c r="F65" s="12">
        <v>38.208599999999997</v>
      </c>
      <c r="G65" s="11">
        <v>2820</v>
      </c>
      <c r="H65" s="11">
        <v>2697</v>
      </c>
      <c r="I65" s="12">
        <v>4.6710000000000003</v>
      </c>
      <c r="J65" s="12">
        <v>41.281099999999995</v>
      </c>
      <c r="K65" s="11">
        <v>2664</v>
      </c>
      <c r="L65" s="11">
        <v>2685</v>
      </c>
      <c r="M65" s="12">
        <v>4.9275000000000002</v>
      </c>
      <c r="N65" s="12">
        <v>40.592449999999999</v>
      </c>
      <c r="O65" s="22"/>
      <c r="P65" s="22"/>
      <c r="Q65" s="1"/>
      <c r="R65" s="1"/>
      <c r="S65" s="1"/>
      <c r="T65" s="1"/>
    </row>
    <row r="66" spans="1:20" s="7" customFormat="1" ht="27.95" customHeight="1" x14ac:dyDescent="0.25">
      <c r="A66" s="9">
        <v>53</v>
      </c>
      <c r="B66" s="10" t="s">
        <v>22</v>
      </c>
      <c r="C66" s="11">
        <v>93997</v>
      </c>
      <c r="D66" s="11">
        <v>83813</v>
      </c>
      <c r="E66" s="12">
        <v>5593.6559999999999</v>
      </c>
      <c r="F66" s="12">
        <v>8395.2970000000005</v>
      </c>
      <c r="G66" s="11">
        <v>78834</v>
      </c>
      <c r="H66" s="11">
        <v>93394</v>
      </c>
      <c r="I66" s="12">
        <v>5510.7870000000003</v>
      </c>
      <c r="J66" s="12">
        <v>8916.5930000000008</v>
      </c>
      <c r="K66" s="11">
        <v>78893</v>
      </c>
      <c r="L66" s="11">
        <v>90238</v>
      </c>
      <c r="M66" s="12">
        <v>5321.9709999999995</v>
      </c>
      <c r="N66" s="12">
        <v>8969.1540000000005</v>
      </c>
      <c r="O66" s="22"/>
      <c r="P66" s="22"/>
      <c r="Q66" s="1"/>
      <c r="R66" s="1"/>
      <c r="S66" s="1"/>
      <c r="T66" s="1"/>
    </row>
    <row r="67" spans="1:20" s="7" customFormat="1" ht="27.95" customHeight="1" x14ac:dyDescent="0.25">
      <c r="A67" s="9">
        <v>54</v>
      </c>
      <c r="B67" s="10" t="s">
        <v>54</v>
      </c>
      <c r="C67" s="11">
        <v>768</v>
      </c>
      <c r="D67" s="11">
        <v>706</v>
      </c>
      <c r="E67" s="12">
        <v>0</v>
      </c>
      <c r="F67" s="12">
        <v>8.2539999999999996</v>
      </c>
      <c r="G67" s="11">
        <v>623</v>
      </c>
      <c r="H67" s="11">
        <v>832</v>
      </c>
      <c r="I67" s="12">
        <v>0</v>
      </c>
      <c r="J67" s="12">
        <v>11.843</v>
      </c>
      <c r="K67" s="11">
        <v>537</v>
      </c>
      <c r="L67" s="11">
        <v>694</v>
      </c>
      <c r="M67" s="12">
        <v>0</v>
      </c>
      <c r="N67" s="12">
        <v>13.443</v>
      </c>
      <c r="O67" s="22"/>
      <c r="P67" s="22"/>
      <c r="Q67" s="1"/>
      <c r="R67" s="1"/>
      <c r="S67" s="1"/>
      <c r="T67" s="1"/>
    </row>
    <row r="68" spans="1:20" s="7" customFormat="1" ht="27.95" customHeight="1" x14ac:dyDescent="0.25">
      <c r="A68" s="9">
        <v>55</v>
      </c>
      <c r="B68" s="10" t="s">
        <v>75</v>
      </c>
      <c r="C68" s="11">
        <v>50594</v>
      </c>
      <c r="D68" s="11">
        <v>42761</v>
      </c>
      <c r="E68" s="12">
        <v>95.956000000000003</v>
      </c>
      <c r="F68" s="12">
        <v>1407.731</v>
      </c>
      <c r="G68" s="11">
        <v>48320</v>
      </c>
      <c r="H68" s="11">
        <v>76354</v>
      </c>
      <c r="I68" s="12">
        <v>140.749</v>
      </c>
      <c r="J68" s="12">
        <v>2007.914</v>
      </c>
      <c r="K68" s="11">
        <v>54903</v>
      </c>
      <c r="L68" s="11">
        <v>66201</v>
      </c>
      <c r="M68" s="12">
        <v>188.566</v>
      </c>
      <c r="N68" s="12">
        <v>2015.048</v>
      </c>
      <c r="O68" s="22"/>
      <c r="P68" s="22"/>
      <c r="Q68" s="1"/>
      <c r="R68" s="1"/>
      <c r="S68" s="1"/>
      <c r="T68" s="1"/>
    </row>
    <row r="69" spans="1:20" s="7" customFormat="1" ht="27.95" customHeight="1" x14ac:dyDescent="0.25">
      <c r="A69" s="9">
        <v>56</v>
      </c>
      <c r="B69" s="10" t="s">
        <v>65</v>
      </c>
      <c r="C69" s="11">
        <v>32903</v>
      </c>
      <c r="D69" s="11">
        <v>39316</v>
      </c>
      <c r="E69" s="12">
        <v>7.6444999999999999</v>
      </c>
      <c r="F69" s="12">
        <v>158.12189999999998</v>
      </c>
      <c r="G69" s="11">
        <v>35925</v>
      </c>
      <c r="H69" s="11">
        <v>37797</v>
      </c>
      <c r="I69" s="12">
        <v>5.5648</v>
      </c>
      <c r="J69" s="12">
        <v>155.3622</v>
      </c>
      <c r="K69" s="11">
        <v>31921</v>
      </c>
      <c r="L69" s="11">
        <v>36332</v>
      </c>
      <c r="M69" s="12">
        <v>17.898900000000001</v>
      </c>
      <c r="N69" s="12">
        <v>146.16040000000001</v>
      </c>
      <c r="O69" s="22"/>
      <c r="P69" s="22"/>
      <c r="Q69" s="1"/>
      <c r="R69" s="1"/>
      <c r="S69" s="1"/>
      <c r="T69" s="1"/>
    </row>
    <row r="70" spans="1:20" s="7" customFormat="1" ht="27.95" customHeight="1" x14ac:dyDescent="0.25">
      <c r="A70" s="9">
        <v>57</v>
      </c>
      <c r="B70" s="10" t="s">
        <v>66</v>
      </c>
      <c r="C70" s="11">
        <v>83406</v>
      </c>
      <c r="D70" s="11">
        <v>96680</v>
      </c>
      <c r="E70" s="12">
        <v>3179.348</v>
      </c>
      <c r="F70" s="12">
        <v>2855.5309999999999</v>
      </c>
      <c r="G70" s="11">
        <v>81397</v>
      </c>
      <c r="H70" s="11">
        <v>96793</v>
      </c>
      <c r="I70" s="12">
        <v>3544.7860000000001</v>
      </c>
      <c r="J70" s="12">
        <v>2794.0320000000002</v>
      </c>
      <c r="K70" s="11">
        <v>85736</v>
      </c>
      <c r="L70" s="11">
        <v>95165</v>
      </c>
      <c r="M70" s="12">
        <v>3364.1694999999991</v>
      </c>
      <c r="N70" s="12">
        <v>2865.0546999999992</v>
      </c>
      <c r="O70" s="22"/>
      <c r="P70" s="22"/>
      <c r="Q70" s="1"/>
      <c r="R70" s="1"/>
      <c r="S70" s="1"/>
      <c r="T70" s="1"/>
    </row>
    <row r="71" spans="1:20" s="7" customFormat="1" ht="27.95" customHeight="1" x14ac:dyDescent="0.25">
      <c r="A71" s="9">
        <v>58</v>
      </c>
      <c r="B71" s="10" t="s">
        <v>35</v>
      </c>
      <c r="C71" s="11">
        <v>40647</v>
      </c>
      <c r="D71" s="11">
        <v>45620</v>
      </c>
      <c r="E71" s="12">
        <v>377.26</v>
      </c>
      <c r="F71" s="12">
        <v>718.63099999999997</v>
      </c>
      <c r="G71" s="11">
        <v>41635</v>
      </c>
      <c r="H71" s="11">
        <v>48610</v>
      </c>
      <c r="I71" s="12">
        <v>379.41550000000001</v>
      </c>
      <c r="J71" s="12">
        <v>864.36300000000006</v>
      </c>
      <c r="K71" s="11">
        <v>36653</v>
      </c>
      <c r="L71" s="11">
        <v>46605</v>
      </c>
      <c r="M71" s="12">
        <v>402.09500000000003</v>
      </c>
      <c r="N71" s="12">
        <v>840.64499999999998</v>
      </c>
      <c r="O71" s="22"/>
      <c r="P71" s="22"/>
      <c r="Q71" s="1"/>
      <c r="R71" s="1"/>
      <c r="S71" s="1"/>
      <c r="T71" s="1"/>
    </row>
    <row r="72" spans="1:20" s="7" customFormat="1" ht="27.95" customHeight="1" x14ac:dyDescent="0.25">
      <c r="A72" s="9">
        <v>59</v>
      </c>
      <c r="B72" s="10" t="s">
        <v>40</v>
      </c>
      <c r="C72" s="11">
        <v>13381</v>
      </c>
      <c r="D72" s="11">
        <v>12797</v>
      </c>
      <c r="E72" s="12">
        <v>580.19299999999998</v>
      </c>
      <c r="F72" s="12">
        <v>717.16899999999998</v>
      </c>
      <c r="G72" s="11">
        <v>10185</v>
      </c>
      <c r="H72" s="11">
        <v>14464</v>
      </c>
      <c r="I72" s="12">
        <v>554.68200000000002</v>
      </c>
      <c r="J72" s="12">
        <v>770.37900000000002</v>
      </c>
      <c r="K72" s="11">
        <v>8285</v>
      </c>
      <c r="L72" s="11">
        <v>12251</v>
      </c>
      <c r="M72" s="12">
        <v>539.71500000000003</v>
      </c>
      <c r="N72" s="12">
        <v>899.38599999999997</v>
      </c>
      <c r="O72" s="22"/>
      <c r="P72" s="22"/>
      <c r="Q72" s="1"/>
      <c r="R72" s="1"/>
      <c r="S72" s="1"/>
      <c r="T72" s="1"/>
    </row>
    <row r="73" spans="1:20" s="7" customFormat="1" ht="27.95" customHeight="1" x14ac:dyDescent="0.25">
      <c r="A73" s="9">
        <v>60</v>
      </c>
      <c r="B73" s="10" t="s">
        <v>78</v>
      </c>
      <c r="C73" s="11">
        <v>23971</v>
      </c>
      <c r="D73" s="11">
        <v>25034</v>
      </c>
      <c r="E73" s="12">
        <v>74.971999999999994</v>
      </c>
      <c r="F73" s="12">
        <v>158.32599999999999</v>
      </c>
      <c r="G73" s="11">
        <v>22680</v>
      </c>
      <c r="H73" s="11">
        <v>24682</v>
      </c>
      <c r="I73" s="12">
        <v>73.802999999999997</v>
      </c>
      <c r="J73" s="12">
        <v>220.953</v>
      </c>
      <c r="K73" s="11">
        <v>22742</v>
      </c>
      <c r="L73" s="11">
        <v>24447</v>
      </c>
      <c r="M73" s="12">
        <v>78.563999999999993</v>
      </c>
      <c r="N73" s="12">
        <v>0</v>
      </c>
      <c r="O73" s="22"/>
      <c r="P73" s="22"/>
      <c r="Q73" s="1"/>
      <c r="R73" s="1"/>
      <c r="S73" s="1"/>
      <c r="T73" s="1"/>
    </row>
    <row r="74" spans="1:20" s="7" customFormat="1" ht="27.95" customHeight="1" x14ac:dyDescent="0.25">
      <c r="A74" s="9">
        <v>61</v>
      </c>
      <c r="B74" s="10" t="s">
        <v>44</v>
      </c>
      <c r="C74" s="11">
        <v>47715</v>
      </c>
      <c r="D74" s="11">
        <v>51981</v>
      </c>
      <c r="E74" s="12">
        <v>1818.171</v>
      </c>
      <c r="F74" s="12">
        <v>1614.1020000000001</v>
      </c>
      <c r="G74" s="11">
        <v>42198</v>
      </c>
      <c r="H74" s="11">
        <v>47414</v>
      </c>
      <c r="I74" s="12">
        <v>1693.646</v>
      </c>
      <c r="J74" s="12">
        <v>1663.846</v>
      </c>
      <c r="K74" s="11">
        <v>43398</v>
      </c>
      <c r="L74" s="11">
        <v>49894</v>
      </c>
      <c r="M74" s="12">
        <v>1999.6969999999999</v>
      </c>
      <c r="N74" s="12">
        <v>1668.701</v>
      </c>
      <c r="O74" s="22"/>
      <c r="P74" s="22"/>
      <c r="Q74" s="1"/>
      <c r="R74" s="1"/>
      <c r="S74" s="1"/>
      <c r="T74" s="1"/>
    </row>
    <row r="75" spans="1:20" s="7" customFormat="1" ht="27.95" customHeight="1" x14ac:dyDescent="0.25">
      <c r="A75" s="9">
        <v>62</v>
      </c>
      <c r="B75" s="10" t="s">
        <v>79</v>
      </c>
      <c r="C75" s="11">
        <v>5000</v>
      </c>
      <c r="D75" s="11">
        <v>5013</v>
      </c>
      <c r="E75" s="12">
        <v>50.96</v>
      </c>
      <c r="F75" s="12">
        <v>6.3150000000000004</v>
      </c>
      <c r="G75" s="11">
        <v>5146</v>
      </c>
      <c r="H75" s="11">
        <v>5094</v>
      </c>
      <c r="I75" s="12">
        <v>70.245999999999995</v>
      </c>
      <c r="J75" s="12">
        <v>7.3689999999999998</v>
      </c>
      <c r="K75" s="11">
        <v>5961</v>
      </c>
      <c r="L75" s="11">
        <v>6005</v>
      </c>
      <c r="M75" s="12">
        <v>84.204999999999998</v>
      </c>
      <c r="N75" s="12">
        <v>4.0949999999999998</v>
      </c>
      <c r="O75" s="22"/>
      <c r="P75" s="22"/>
      <c r="Q75" s="1"/>
      <c r="R75" s="1"/>
      <c r="S75" s="1"/>
      <c r="T75" s="1"/>
    </row>
    <row r="76" spans="1:20" s="7" customFormat="1" ht="27.95" customHeight="1" x14ac:dyDescent="0.25">
      <c r="A76" s="9">
        <v>63</v>
      </c>
      <c r="B76" s="10" t="s">
        <v>76</v>
      </c>
      <c r="C76" s="11">
        <v>7303</v>
      </c>
      <c r="D76" s="11">
        <v>8236</v>
      </c>
      <c r="E76" s="12">
        <v>17.885000000000002</v>
      </c>
      <c r="F76" s="12">
        <v>60.19567</v>
      </c>
      <c r="G76" s="11">
        <v>7856</v>
      </c>
      <c r="H76" s="11">
        <v>8085</v>
      </c>
      <c r="I76" s="12">
        <v>19.393000000000001</v>
      </c>
      <c r="J76" s="12">
        <v>74.668039999999991</v>
      </c>
      <c r="K76" s="11">
        <v>3956</v>
      </c>
      <c r="L76" s="11">
        <v>4152</v>
      </c>
      <c r="M76" s="12">
        <v>21.065819999999999</v>
      </c>
      <c r="N76" s="12">
        <v>69.085059999999999</v>
      </c>
      <c r="O76" s="22"/>
      <c r="P76" s="22"/>
      <c r="Q76" s="1"/>
      <c r="R76" s="1"/>
      <c r="S76" s="1"/>
      <c r="T76" s="1"/>
    </row>
    <row r="77" spans="1:20" s="7" customFormat="1" ht="27.95" customHeight="1" x14ac:dyDescent="0.25">
      <c r="A77" s="9">
        <v>64</v>
      </c>
      <c r="B77" s="10" t="s">
        <v>23</v>
      </c>
      <c r="C77" s="11">
        <v>21553</v>
      </c>
      <c r="D77" s="11">
        <v>0</v>
      </c>
      <c r="E77" s="12">
        <v>2781.5318000000002</v>
      </c>
      <c r="F77" s="12">
        <v>4214.07197</v>
      </c>
      <c r="G77" s="11">
        <v>16412</v>
      </c>
      <c r="H77" s="11">
        <v>22515</v>
      </c>
      <c r="I77" s="12">
        <v>2401.69436</v>
      </c>
      <c r="J77" s="12">
        <v>3371.1183300000002</v>
      </c>
      <c r="K77" s="11">
        <v>33811</v>
      </c>
      <c r="L77" s="11">
        <v>19497</v>
      </c>
      <c r="M77" s="12">
        <v>2548.8539999999998</v>
      </c>
      <c r="N77" s="12">
        <v>3261.518</v>
      </c>
      <c r="O77" s="22"/>
      <c r="P77" s="22"/>
      <c r="Q77" s="1"/>
      <c r="R77" s="1"/>
      <c r="S77" s="1"/>
      <c r="T77" s="1"/>
    </row>
    <row r="78" spans="1:20" s="7" customFormat="1" ht="27.95" customHeight="1" x14ac:dyDescent="0.25">
      <c r="A78" s="9">
        <v>65</v>
      </c>
      <c r="B78" s="10" t="s">
        <v>24</v>
      </c>
      <c r="C78" s="11">
        <v>5839</v>
      </c>
      <c r="D78" s="11">
        <v>6566</v>
      </c>
      <c r="E78" s="12">
        <v>56.548180000000002</v>
      </c>
      <c r="F78" s="12">
        <v>17.203900000000001</v>
      </c>
      <c r="G78" s="11">
        <v>5705</v>
      </c>
      <c r="H78" s="11">
        <v>7769</v>
      </c>
      <c r="I78" s="12">
        <v>62.837510000000002</v>
      </c>
      <c r="J78" s="12">
        <v>40.04327</v>
      </c>
      <c r="K78" s="11">
        <v>0</v>
      </c>
      <c r="L78" s="11">
        <v>0</v>
      </c>
      <c r="M78" s="12">
        <v>0</v>
      </c>
      <c r="N78" s="12">
        <v>0</v>
      </c>
      <c r="O78" s="22"/>
      <c r="P78" s="22"/>
      <c r="Q78" s="1"/>
      <c r="R78" s="1"/>
      <c r="S78" s="1"/>
      <c r="T78" s="1"/>
    </row>
    <row r="79" spans="1:20" s="7" customFormat="1" ht="27.95" customHeight="1" x14ac:dyDescent="0.25">
      <c r="A79" s="9">
        <v>66</v>
      </c>
      <c r="B79" s="10" t="s">
        <v>67</v>
      </c>
      <c r="C79" s="11">
        <v>0</v>
      </c>
      <c r="D79" s="11">
        <v>0</v>
      </c>
      <c r="E79" s="12">
        <v>1438.5309999999999</v>
      </c>
      <c r="F79" s="12">
        <v>1948.27</v>
      </c>
      <c r="G79" s="11">
        <v>0</v>
      </c>
      <c r="H79" s="11">
        <v>0</v>
      </c>
      <c r="I79" s="12">
        <v>2506.4450000000002</v>
      </c>
      <c r="J79" s="12">
        <v>2808.4769999999999</v>
      </c>
      <c r="K79" s="11">
        <v>0</v>
      </c>
      <c r="L79" s="11">
        <v>0</v>
      </c>
      <c r="M79" s="12">
        <v>2578.87</v>
      </c>
      <c r="N79" s="12">
        <v>1793.0640000000001</v>
      </c>
      <c r="O79" s="22"/>
      <c r="P79" s="22"/>
      <c r="Q79" s="1"/>
      <c r="R79" s="1"/>
      <c r="S79" s="1"/>
      <c r="T79" s="1"/>
    </row>
    <row r="80" spans="1:20" s="7" customFormat="1" ht="27.95" customHeight="1" x14ac:dyDescent="0.25">
      <c r="A80" s="9">
        <v>67</v>
      </c>
      <c r="B80" s="10" t="s">
        <v>68</v>
      </c>
      <c r="C80" s="11">
        <v>6374</v>
      </c>
      <c r="D80" s="11">
        <v>6636</v>
      </c>
      <c r="E80" s="12">
        <v>0</v>
      </c>
      <c r="F80" s="12">
        <v>0</v>
      </c>
      <c r="G80" s="11">
        <v>5882</v>
      </c>
      <c r="H80" s="11">
        <v>6430</v>
      </c>
      <c r="I80" s="12">
        <v>0</v>
      </c>
      <c r="J80" s="12">
        <v>0.222</v>
      </c>
      <c r="K80" s="11">
        <v>5779</v>
      </c>
      <c r="L80" s="11">
        <v>6129</v>
      </c>
      <c r="M80" s="12">
        <v>0</v>
      </c>
      <c r="N80" s="12">
        <v>0.40400000000000003</v>
      </c>
      <c r="O80" s="22"/>
      <c r="P80" s="22"/>
      <c r="Q80" s="1"/>
      <c r="R80" s="1"/>
      <c r="S80" s="1"/>
      <c r="T80" s="1"/>
    </row>
    <row r="81" spans="1:20" s="7" customFormat="1" ht="27.95" customHeight="1" x14ac:dyDescent="0.25">
      <c r="A81" s="9">
        <v>68</v>
      </c>
      <c r="B81" s="10" t="s">
        <v>95</v>
      </c>
      <c r="C81" s="11">
        <v>4904</v>
      </c>
      <c r="D81" s="11">
        <v>3706</v>
      </c>
      <c r="E81" s="12">
        <v>18.667999999999999</v>
      </c>
      <c r="F81" s="12">
        <v>164.75299999999999</v>
      </c>
      <c r="G81" s="11">
        <v>3482</v>
      </c>
      <c r="H81" s="11">
        <v>6455</v>
      </c>
      <c r="I81" s="12">
        <v>20.452999999999999</v>
      </c>
      <c r="J81" s="12">
        <v>305.23599999999999</v>
      </c>
      <c r="K81" s="11">
        <v>3018</v>
      </c>
      <c r="L81" s="11">
        <v>5831</v>
      </c>
      <c r="M81" s="12">
        <v>15.571999999999999</v>
      </c>
      <c r="N81" s="12">
        <v>206.85900000000001</v>
      </c>
      <c r="O81" s="22"/>
      <c r="P81" s="22"/>
      <c r="Q81" s="1"/>
      <c r="R81" s="1"/>
      <c r="S81" s="1"/>
      <c r="T81" s="1"/>
    </row>
    <row r="82" spans="1:20" s="7" customFormat="1" ht="27.95" customHeight="1" x14ac:dyDescent="0.25">
      <c r="A82" s="9">
        <v>69</v>
      </c>
      <c r="B82" s="10" t="s">
        <v>80</v>
      </c>
      <c r="C82" s="11">
        <v>6428</v>
      </c>
      <c r="D82" s="11">
        <v>7246</v>
      </c>
      <c r="E82" s="12">
        <v>76.088999999999999</v>
      </c>
      <c r="F82" s="12">
        <v>65.486999999999995</v>
      </c>
      <c r="G82" s="11">
        <v>15034</v>
      </c>
      <c r="H82" s="11">
        <v>15363</v>
      </c>
      <c r="I82" s="12">
        <v>352.84590000000003</v>
      </c>
      <c r="J82" s="12">
        <v>146.87360000000001</v>
      </c>
      <c r="K82" s="11">
        <v>5755</v>
      </c>
      <c r="L82" s="11">
        <v>6801</v>
      </c>
      <c r="M82" s="12">
        <v>164.72</v>
      </c>
      <c r="N82" s="12">
        <v>63.011000000000003</v>
      </c>
      <c r="O82" s="22"/>
      <c r="P82" s="22"/>
      <c r="Q82" s="1"/>
      <c r="R82" s="1"/>
      <c r="S82" s="1"/>
      <c r="T82" s="1"/>
    </row>
    <row r="83" spans="1:20" s="7" customFormat="1" ht="27.95" customHeight="1" x14ac:dyDescent="0.25">
      <c r="A83" s="9">
        <v>70</v>
      </c>
      <c r="B83" s="10" t="s">
        <v>93</v>
      </c>
      <c r="C83" s="11">
        <v>4233</v>
      </c>
      <c r="D83" s="11">
        <v>4043</v>
      </c>
      <c r="E83" s="12">
        <v>23.7104</v>
      </c>
      <c r="F83" s="12">
        <v>18.733499999999999</v>
      </c>
      <c r="G83" s="11">
        <v>3925</v>
      </c>
      <c r="H83" s="11">
        <v>4014</v>
      </c>
      <c r="I83" s="12">
        <v>16.596</v>
      </c>
      <c r="J83" s="12">
        <v>8.7038999999999991</v>
      </c>
      <c r="K83" s="11">
        <v>4048</v>
      </c>
      <c r="L83" s="11">
        <v>4394</v>
      </c>
      <c r="M83" s="12">
        <v>30.702000000000002</v>
      </c>
      <c r="N83" s="12">
        <v>13.6144</v>
      </c>
      <c r="O83" s="22"/>
      <c r="P83" s="22"/>
      <c r="Q83" s="1"/>
      <c r="R83" s="1"/>
      <c r="S83" s="1"/>
      <c r="T83" s="1"/>
    </row>
    <row r="84" spans="1:20" s="7" customFormat="1" ht="27.95" customHeight="1" x14ac:dyDescent="0.25">
      <c r="A84" s="9">
        <v>71</v>
      </c>
      <c r="B84" s="10" t="s">
        <v>25</v>
      </c>
      <c r="C84" s="11">
        <v>23946</v>
      </c>
      <c r="D84" s="11">
        <v>23234</v>
      </c>
      <c r="E84" s="12">
        <v>420.59</v>
      </c>
      <c r="F84" s="12">
        <v>1502.741</v>
      </c>
      <c r="G84" s="11">
        <v>15648</v>
      </c>
      <c r="H84" s="11">
        <v>23372</v>
      </c>
      <c r="I84" s="12">
        <v>323.33</v>
      </c>
      <c r="J84" s="12">
        <v>1236.1110000000001</v>
      </c>
      <c r="K84" s="11">
        <v>15370</v>
      </c>
      <c r="L84" s="11">
        <v>22259</v>
      </c>
      <c r="M84" s="12">
        <v>329.50400000000002</v>
      </c>
      <c r="N84" s="12">
        <v>1270.2329999999999</v>
      </c>
      <c r="O84" s="22"/>
      <c r="P84" s="22"/>
      <c r="Q84" s="1"/>
      <c r="R84" s="1"/>
      <c r="S84" s="1"/>
      <c r="T84" s="1"/>
    </row>
    <row r="85" spans="1:20" s="7" customFormat="1" ht="27.95" customHeight="1" x14ac:dyDescent="0.25">
      <c r="A85" s="9">
        <v>72</v>
      </c>
      <c r="B85" s="10" t="s">
        <v>26</v>
      </c>
      <c r="C85" s="11">
        <v>1047</v>
      </c>
      <c r="D85" s="11">
        <v>1038</v>
      </c>
      <c r="E85" s="12">
        <v>0</v>
      </c>
      <c r="F85" s="12">
        <v>4.6029999999999998</v>
      </c>
      <c r="G85" s="11">
        <v>1330</v>
      </c>
      <c r="H85" s="11">
        <v>1204</v>
      </c>
      <c r="I85" s="12">
        <v>0</v>
      </c>
      <c r="J85" s="12">
        <v>10.064399999999999</v>
      </c>
      <c r="K85" s="11">
        <v>988</v>
      </c>
      <c r="L85" s="11">
        <v>1244</v>
      </c>
      <c r="M85" s="12">
        <v>0</v>
      </c>
      <c r="N85" s="12">
        <v>12.0968</v>
      </c>
      <c r="O85" s="22"/>
      <c r="P85" s="22"/>
      <c r="Q85" s="1"/>
      <c r="R85" s="1"/>
      <c r="S85" s="1"/>
      <c r="T85" s="1"/>
    </row>
    <row r="86" spans="1:20" ht="27.75" customHeight="1" x14ac:dyDescent="0.25">
      <c r="A86" s="31" t="s">
        <v>27</v>
      </c>
      <c r="B86" s="31"/>
      <c r="C86" s="17">
        <f t="shared" ref="C86:N86" si="1">SUM(C14:C85)</f>
        <v>1509422</v>
      </c>
      <c r="D86" s="17">
        <f t="shared" si="1"/>
        <v>1475083</v>
      </c>
      <c r="E86" s="18">
        <f t="shared" si="1"/>
        <v>47694.562362000004</v>
      </c>
      <c r="F86" s="18">
        <f t="shared" si="1"/>
        <v>63847.605498000004</v>
      </c>
      <c r="G86" s="17">
        <f t="shared" si="1"/>
        <v>1283958</v>
      </c>
      <c r="H86" s="17">
        <f t="shared" si="1"/>
        <v>1653401</v>
      </c>
      <c r="I86" s="18">
        <f t="shared" si="1"/>
        <v>48432.23126700001</v>
      </c>
      <c r="J86" s="18">
        <f t="shared" si="1"/>
        <v>66789.892611999996</v>
      </c>
      <c r="K86" s="17">
        <f t="shared" si="1"/>
        <v>1259264</v>
      </c>
      <c r="L86" s="17">
        <f t="shared" si="1"/>
        <v>1589506</v>
      </c>
      <c r="M86" s="18">
        <f t="shared" si="1"/>
        <v>45000.971719000001</v>
      </c>
      <c r="N86" s="18">
        <f t="shared" si="1"/>
        <v>64918.514989999989</v>
      </c>
      <c r="O86" s="23"/>
      <c r="P86" s="23"/>
    </row>
    <row r="87" spans="1:20" ht="41.25" customHeight="1" x14ac:dyDescent="0.25">
      <c r="A87" s="32" t="s">
        <v>28</v>
      </c>
      <c r="B87" s="32"/>
      <c r="C87" s="19">
        <f t="shared" ref="C87:N87" si="2">C12+C86</f>
        <v>2735197</v>
      </c>
      <c r="D87" s="19">
        <f t="shared" si="2"/>
        <v>2649828</v>
      </c>
      <c r="E87" s="20">
        <f t="shared" si="2"/>
        <v>52033.382582000006</v>
      </c>
      <c r="F87" s="20">
        <f t="shared" si="2"/>
        <v>75140.703888000004</v>
      </c>
      <c r="G87" s="19">
        <f t="shared" si="2"/>
        <v>2366741</v>
      </c>
      <c r="H87" s="19">
        <f t="shared" si="2"/>
        <v>2974615</v>
      </c>
      <c r="I87" s="20">
        <f t="shared" si="2"/>
        <v>53119.394657000012</v>
      </c>
      <c r="J87" s="20">
        <f t="shared" si="2"/>
        <v>79378.023352000004</v>
      </c>
      <c r="K87" s="19">
        <f t="shared" si="2"/>
        <v>2267866</v>
      </c>
      <c r="L87" s="19">
        <f t="shared" si="2"/>
        <v>2850869</v>
      </c>
      <c r="M87" s="20">
        <f t="shared" si="2"/>
        <v>50243.980399</v>
      </c>
      <c r="N87" s="20">
        <f t="shared" si="2"/>
        <v>77326.330379999985</v>
      </c>
    </row>
    <row r="88" spans="1:20" s="7" customFormat="1" ht="30.75" customHeight="1" x14ac:dyDescent="0.3">
      <c r="A88" s="25" t="s">
        <v>94</v>
      </c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7"/>
    </row>
    <row r="89" spans="1:20" s="7" customFormat="1" ht="21" customHeight="1" x14ac:dyDescent="0.3">
      <c r="A89" s="24" t="s">
        <v>34</v>
      </c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</row>
    <row r="90" spans="1:20" ht="18.75" customHeight="1" x14ac:dyDescent="0.25"/>
    <row r="91" spans="1:20" ht="18.75" customHeight="1" x14ac:dyDescent="0.25"/>
    <row r="92" spans="1:20" ht="18.75" customHeight="1" x14ac:dyDescent="0.25"/>
  </sheetData>
  <mergeCells count="14">
    <mergeCell ref="A1:N1"/>
    <mergeCell ref="A2:N2"/>
    <mergeCell ref="A3:A4"/>
    <mergeCell ref="B3:B4"/>
    <mergeCell ref="C3:F3"/>
    <mergeCell ref="G3:J3"/>
    <mergeCell ref="K3:N3"/>
    <mergeCell ref="A89:N89"/>
    <mergeCell ref="A88:N88"/>
    <mergeCell ref="A5:N5"/>
    <mergeCell ref="A12:B12"/>
    <mergeCell ref="A13:N13"/>
    <mergeCell ref="A86:B86"/>
    <mergeCell ref="A87:B87"/>
  </mergeCells>
  <printOptions horizontalCentered="1"/>
  <pageMargins left="0" right="0" top="3.937007874015748E-2" bottom="3.937007874015748E-2" header="0.31496062992125984" footer="0.31496062992125984"/>
  <pageSetup scale="39" fitToHeight="2" orientation="landscape" r:id="rId1"/>
  <headerFooter>
    <oddFooter>Page &amp;P of &amp;N</oddFooter>
  </headerFooter>
  <rowBreaks count="1" manualBreakCount="1">
    <brk id="43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MONTHWISE</vt:lpstr>
      <vt:lpstr>MONTHWISE!Print_Area</vt:lpstr>
      <vt:lpstr>MONTHWISE!Print_Titles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2023-11-23T14:59:55Z</dcterms:modified>
</cp:coreProperties>
</file>