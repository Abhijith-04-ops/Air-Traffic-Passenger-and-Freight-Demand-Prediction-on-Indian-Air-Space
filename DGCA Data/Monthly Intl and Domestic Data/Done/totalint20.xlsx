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ndeep Verma\Desktop\Nitin Soni, JSO\Revised Data of Non Scheduled Int Opertn\Excel Dec 2020\"/>
    </mc:Choice>
  </mc:AlternateContent>
  <bookViews>
    <workbookView xWindow="0" yWindow="0" windowWidth="24000" windowHeight="9735"/>
  </bookViews>
  <sheets>
    <sheet name="totalint19" sheetId="15" r:id="rId1"/>
  </sheets>
  <definedNames>
    <definedName name="\a" localSheetId="0">totalint19!#REF!</definedName>
    <definedName name="\a">#REF!</definedName>
    <definedName name="\b" localSheetId="0">totalint19!$R$2</definedName>
    <definedName name="\b">#REF!</definedName>
    <definedName name="\c">#N/A</definedName>
    <definedName name="\d" localSheetId="0">totalint19!#REF!</definedName>
    <definedName name="\d">#REF!</definedName>
    <definedName name="\e" localSheetId="0">totalint19!#REF!</definedName>
    <definedName name="\e">#REF!</definedName>
    <definedName name="\f" localSheetId="0">totalint19!#REF!</definedName>
    <definedName name="\f">#REF!</definedName>
    <definedName name="\g" localSheetId="0">totalint19!#REF!</definedName>
    <definedName name="\g">#REF!</definedName>
    <definedName name="\h" localSheetId="0">totalint19!#REF!</definedName>
    <definedName name="\h">#REF!</definedName>
    <definedName name="\i" localSheetId="0">totalint19!#REF!</definedName>
    <definedName name="\i">#REF!</definedName>
    <definedName name="\j" localSheetId="0">totalint19!#REF!</definedName>
    <definedName name="\j">#REF!</definedName>
    <definedName name="\k" localSheetId="0">totalint19!#REF!</definedName>
    <definedName name="\k">#REF!</definedName>
    <definedName name="\l">#N/A</definedName>
    <definedName name="\m" localSheetId="0">totalint19!#REF!</definedName>
    <definedName name="\m">#REF!</definedName>
    <definedName name="\p" localSheetId="0">totalint19!$R$278</definedName>
    <definedName name="\p">#REF!</definedName>
    <definedName name="\x" localSheetId="0">totalint19!$C$181</definedName>
    <definedName name="\x">#REF!</definedName>
    <definedName name="_Regression_Int" localSheetId="0" hidden="1">1</definedName>
    <definedName name="_xlnm.Print_Area" localSheetId="0">totalint19!$A$1:$Q$38</definedName>
    <definedName name="Print_Area_MI" localSheetId="0">totalint19!$A$1:$Q$17</definedName>
    <definedName name="toatalpvt">#REF!</definedName>
    <definedName name="totalnat">#REF!</definedName>
    <definedName name="totalpvt">#REF!</definedName>
  </definedNames>
  <calcPr calcId="152511"/>
</workbook>
</file>

<file path=xl/calcChain.xml><?xml version="1.0" encoding="utf-8"?>
<calcChain xmlns="http://schemas.openxmlformats.org/spreadsheetml/2006/main">
  <c r="K26" i="15" l="1"/>
  <c r="O26" i="15"/>
  <c r="Q26" i="15" s="1"/>
  <c r="O34" i="15" l="1"/>
  <c r="Q34" i="15" s="1"/>
  <c r="K34" i="15"/>
  <c r="H34" i="15"/>
  <c r="O33" i="15" l="1"/>
  <c r="Q33" i="15" s="1"/>
  <c r="K33" i="15"/>
  <c r="H33" i="15"/>
  <c r="O32" i="15" l="1"/>
  <c r="Q32" i="15" s="1"/>
  <c r="O31" i="15"/>
  <c r="K32" i="15"/>
  <c r="K31" i="15"/>
  <c r="H32" i="15"/>
  <c r="Q31" i="15" l="1"/>
  <c r="H31" i="15"/>
  <c r="H29" i="15" l="1"/>
  <c r="K29" i="15"/>
  <c r="O29" i="15"/>
  <c r="Q29" i="15" s="1"/>
  <c r="H30" i="15"/>
  <c r="K30" i="15"/>
  <c r="O30" i="15"/>
  <c r="Q30" i="15" s="1"/>
  <c r="O28" i="15" l="1"/>
  <c r="Q28" i="15" s="1"/>
  <c r="K28" i="15"/>
  <c r="H28" i="15"/>
  <c r="P35" i="15" l="1"/>
  <c r="N35" i="15"/>
  <c r="M35" i="15"/>
  <c r="L35" i="15"/>
  <c r="J35" i="15"/>
  <c r="I35" i="15"/>
  <c r="G35" i="15"/>
  <c r="F35" i="15"/>
  <c r="E35" i="15"/>
  <c r="D35" i="15"/>
  <c r="C35" i="15"/>
  <c r="B35" i="15"/>
  <c r="O27" i="15"/>
  <c r="Q27" i="15" s="1"/>
  <c r="K27" i="15"/>
  <c r="H27" i="15"/>
  <c r="P16" i="15"/>
  <c r="N16" i="15"/>
  <c r="M16" i="15"/>
  <c r="L16" i="15"/>
  <c r="J16" i="15"/>
  <c r="I16" i="15"/>
  <c r="G16" i="15"/>
  <c r="F16" i="15"/>
  <c r="E16" i="15"/>
  <c r="D16" i="15"/>
  <c r="C16" i="15"/>
  <c r="B16" i="15"/>
  <c r="H35" i="15" l="1"/>
  <c r="H16" i="15"/>
  <c r="K35" i="15"/>
  <c r="O35" i="15"/>
  <c r="Q35" i="15" s="1"/>
  <c r="O6" i="15"/>
  <c r="Q6" i="15" s="1"/>
  <c r="K6" i="15"/>
  <c r="H6" i="15"/>
  <c r="O5" i="15" l="1"/>
  <c r="K5" i="15"/>
  <c r="H5" i="15"/>
  <c r="Q5" i="15" l="1"/>
  <c r="O4" i="15"/>
  <c r="O16" i="15" s="1"/>
  <c r="Q16" i="15" s="1"/>
  <c r="K4" i="15"/>
  <c r="K16" i="15" s="1"/>
  <c r="H4" i="15"/>
  <c r="Q4" i="15" l="1"/>
</calcChain>
</file>

<file path=xl/sharedStrings.xml><?xml version="1.0" encoding="utf-8"?>
<sst xmlns="http://schemas.openxmlformats.org/spreadsheetml/2006/main" count="77" uniqueCount="40">
  <si>
    <t xml:space="preserve"> </t>
  </si>
  <si>
    <t>[</t>
  </si>
  <si>
    <t>AIRCRAFT FLOWN</t>
  </si>
  <si>
    <t xml:space="preserve"> CARGO CARRIED </t>
  </si>
  <si>
    <t>TOTAL</t>
  </si>
  <si>
    <t>APR</t>
  </si>
  <si>
    <t>MAY</t>
  </si>
  <si>
    <t>NOV</t>
  </si>
  <si>
    <t>DEC</t>
  </si>
  <si>
    <t>MAR</t>
  </si>
  <si>
    <t>MONTH</t>
  </si>
  <si>
    <t xml:space="preserve">          # # WEIGHT LOAD FACTOR = (TONNE KMS PERFORMED/ AVAILABLE TONNE KMS)*100</t>
  </si>
  <si>
    <t>NOTE:- # PAX LOAD FACTOR = (KM PERFORMED/AVAILABLE SEAT KMS)*100</t>
  </si>
  <si>
    <t xml:space="preserve">FEB </t>
  </si>
  <si>
    <t xml:space="preserve">JAN </t>
  </si>
  <si>
    <t>SOURCE:-ICAO ATR FORM  A  FURNISHED BY ALL SCHEDULED INDIAN CARRIERS.</t>
  </si>
  <si>
    <t>DEPARTURES
(IN NUMBER)</t>
  </si>
  <si>
    <t>HOURS
(IN NUMBER)</t>
  </si>
  <si>
    <t>KILOMETRE
(IN THOUSAND)</t>
  </si>
  <si>
    <t>PASSENGERS CARRIED
(IN NUMBER)</t>
  </si>
  <si>
    <t>PASSENGER KMS.PERFORMED
(IN THOUSAND)</t>
  </si>
  <si>
    <t>AVAILABLE SEAT KILOMETRE
(IN THOUSAND)</t>
  </si>
  <si>
    <t xml:space="preserve"> FREIGHT
(IN TONNE)</t>
  </si>
  <si>
    <t>MAIL
(IN TONNE)</t>
  </si>
  <si>
    <t xml:space="preserve"> TOTAL
(IN TONNE)</t>
  </si>
  <si>
    <t>FREIGHT
(IN THOUSAND)</t>
  </si>
  <si>
    <t xml:space="preserve"> MAIL
(IN THOUSAND)</t>
  </si>
  <si>
    <t>AVAILABLE TONNE KILOMETRE
(IN THOUSAND)</t>
  </si>
  <si>
    <t xml:space="preserve"> PAX.LOAD FACTOR#
(IN %)</t>
  </si>
  <si>
    <t xml:space="preserve"> WEIGHT LOAD FACTOR##
(IN %)</t>
  </si>
  <si>
    <t xml:space="preserve"> PASSENGER
(IN THOUSAND)</t>
  </si>
  <si>
    <t xml:space="preserve"> TOTAL
(IN THOUSAND)</t>
  </si>
  <si>
    <t xml:space="preserve">    TONNE  KILOMETRE  PERFORMED </t>
  </si>
  <si>
    <r>
      <rPr>
        <b/>
        <sz val="13"/>
        <color theme="1"/>
        <rFont val="Cambria"/>
        <family val="1"/>
      </rPr>
      <t>Monthly Traffic And Operating Statistics  of Indian Carriers  During 2020 (Provisional)</t>
    </r>
    <r>
      <rPr>
        <b/>
        <sz val="12"/>
        <color theme="1"/>
        <rFont val="Cambria"/>
        <family val="1"/>
      </rPr>
      <t xml:space="preserve">
 </t>
    </r>
    <r>
      <rPr>
        <b/>
        <sz val="16"/>
        <color theme="1"/>
        <rFont val="Cambria"/>
        <family val="1"/>
      </rPr>
      <t>( Scheduled International Services)</t>
    </r>
  </si>
  <si>
    <r>
      <rPr>
        <b/>
        <sz val="13"/>
        <color theme="1"/>
        <rFont val="Cambria"/>
        <family val="1"/>
      </rPr>
      <t>Monthly Traffic And Operating Statistics  of Indian Carriers  During 2020 (Provisional)</t>
    </r>
    <r>
      <rPr>
        <b/>
        <sz val="12"/>
        <color theme="1"/>
        <rFont val="Cambria"/>
        <family val="1"/>
      </rPr>
      <t xml:space="preserve">
 </t>
    </r>
    <r>
      <rPr>
        <b/>
        <sz val="16"/>
        <color theme="1"/>
        <rFont val="Cambria"/>
        <family val="1"/>
      </rPr>
      <t>( Non-Scheduled International Services)</t>
    </r>
  </si>
  <si>
    <t>JUN</t>
  </si>
  <si>
    <t>JULY</t>
  </si>
  <si>
    <t>AUG</t>
  </si>
  <si>
    <t>SEP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</si>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</sst>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_)"/>
    <numFmt numFmtId="165" formatCode="#,##0.0"/>
  </numFmts>
  <fonts count="12" x14ac:knownFonts="1">
    <font>
      <sz val="10"/>
      <name val="Courier"/>
    </font>
    <font>
      <sz val="12"/>
      <name val="Arial"/>
      <family val="2"/>
    </font>
    <font>
      <sz val="10"/>
      <name val="Courier"/>
    </font>
    <font>
      <sz val="14"/>
      <name val="Cambria"/>
      <family val="1"/>
      <scheme val="major"/>
    </font>
    <font>
      <b/>
      <sz val="12"/>
      <name val="Cambria"/>
      <family val="1"/>
      <scheme val="major"/>
    </font>
    <font>
      <b/>
      <sz val="11"/>
      <color theme="1"/>
      <name val="Cambria"/>
      <family val="1"/>
    </font>
    <font>
      <b/>
      <sz val="13"/>
      <color theme="1"/>
      <name val="Cambria"/>
      <family val="1"/>
    </font>
    <font>
      <b/>
      <sz val="12"/>
      <color theme="1"/>
      <name val="Cambria"/>
      <family val="1"/>
    </font>
    <font>
      <b/>
      <sz val="16"/>
      <color theme="1"/>
      <name val="Cambria"/>
      <family val="1"/>
    </font>
    <font>
      <sz val="11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3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10" fillId="3" borderId="1" xfId="0" applyFont="1" applyFill="1" applyBorder="1" applyAlignment="1" applyProtection="1">
      <alignment horizontal="center" vertical="center" textRotation="90" wrapText="1"/>
    </xf>
    <xf numFmtId="0" fontId="10" fillId="3" borderId="14" xfId="0" applyFont="1" applyFill="1" applyBorder="1" applyAlignment="1" applyProtection="1">
      <alignment horizontal="center" vertical="center" textRotation="90" wrapText="1"/>
    </xf>
    <xf numFmtId="0" fontId="10" fillId="3" borderId="13" xfId="0" applyFont="1" applyFill="1" applyBorder="1" applyAlignment="1" applyProtection="1">
      <alignment horizontal="center" vertical="center" textRotation="90" wrapText="1"/>
    </xf>
    <xf numFmtId="0" fontId="10" fillId="3" borderId="8" xfId="0" applyFont="1" applyFill="1" applyBorder="1" applyAlignment="1" applyProtection="1">
      <alignment horizontal="center" vertical="center" textRotation="90" wrapText="1"/>
    </xf>
    <xf numFmtId="3" fontId="11" fillId="6" borderId="2" xfId="0" applyNumberFormat="1" applyFont="1" applyFill="1" applyBorder="1" applyAlignment="1" applyProtection="1">
      <alignment horizontal="center" vertical="center" wrapText="1"/>
    </xf>
    <xf numFmtId="3" fontId="11" fillId="6" borderId="0" xfId="0" applyNumberFormat="1" applyFont="1" applyFill="1" applyBorder="1" applyAlignment="1" applyProtection="1">
      <alignment horizontal="center" vertical="center" wrapText="1"/>
    </xf>
    <xf numFmtId="3" fontId="11" fillId="6" borderId="3" xfId="0" applyNumberFormat="1" applyFont="1" applyFill="1" applyBorder="1" applyAlignment="1" applyProtection="1">
      <alignment horizontal="center" vertical="center" wrapText="1"/>
    </xf>
    <xf numFmtId="3" fontId="11" fillId="6" borderId="4" xfId="0" applyNumberFormat="1" applyFont="1" applyFill="1" applyBorder="1" applyAlignment="1" applyProtection="1">
      <alignment horizontal="center" vertical="center" wrapText="1"/>
    </xf>
    <xf numFmtId="165" fontId="11" fillId="6" borderId="3" xfId="0" applyNumberFormat="1" applyFont="1" applyFill="1" applyBorder="1" applyAlignment="1" applyProtection="1">
      <alignment horizontal="center" vertical="center" wrapText="1"/>
    </xf>
    <xf numFmtId="165" fontId="11" fillId="6" borderId="0" xfId="0" applyNumberFormat="1" applyFont="1" applyFill="1" applyBorder="1" applyAlignment="1" applyProtection="1">
      <alignment horizontal="center" vertical="center" wrapText="1"/>
    </xf>
    <xf numFmtId="165" fontId="11" fillId="6" borderId="4" xfId="0" applyNumberFormat="1" applyFont="1" applyFill="1" applyBorder="1" applyAlignment="1" applyProtection="1">
      <alignment horizontal="center" vertical="center" wrapText="1"/>
    </xf>
    <xf numFmtId="3" fontId="11" fillId="7" borderId="2" xfId="0" applyNumberFormat="1" applyFont="1" applyFill="1" applyBorder="1" applyAlignment="1" applyProtection="1">
      <alignment horizontal="center" vertical="center" wrapText="1"/>
    </xf>
    <xf numFmtId="3" fontId="11" fillId="7" borderId="0" xfId="0" applyNumberFormat="1" applyFont="1" applyFill="1" applyBorder="1" applyAlignment="1" applyProtection="1">
      <alignment horizontal="center" vertical="center" wrapText="1"/>
    </xf>
    <xf numFmtId="3" fontId="11" fillId="7" borderId="3" xfId="0" applyNumberFormat="1" applyFont="1" applyFill="1" applyBorder="1" applyAlignment="1" applyProtection="1">
      <alignment horizontal="center" vertical="center" wrapText="1"/>
    </xf>
    <xf numFmtId="3" fontId="11" fillId="7" borderId="4" xfId="0" applyNumberFormat="1" applyFont="1" applyFill="1" applyBorder="1" applyAlignment="1" applyProtection="1">
      <alignment horizontal="center" vertical="center" wrapText="1"/>
    </xf>
    <xf numFmtId="165" fontId="11" fillId="7" borderId="3" xfId="0" applyNumberFormat="1" applyFont="1" applyFill="1" applyBorder="1" applyAlignment="1" applyProtection="1">
      <alignment horizontal="center" vertical="center" wrapText="1"/>
    </xf>
    <xf numFmtId="165" fontId="11" fillId="7" borderId="0" xfId="0" applyNumberFormat="1" applyFont="1" applyFill="1" applyBorder="1" applyAlignment="1" applyProtection="1">
      <alignment horizontal="center" vertical="center" wrapText="1"/>
    </xf>
    <xf numFmtId="165" fontId="11" fillId="7" borderId="4" xfId="0" applyNumberFormat="1" applyFont="1" applyFill="1" applyBorder="1" applyAlignment="1" applyProtection="1">
      <alignment horizontal="center" vertical="center" wrapText="1"/>
    </xf>
    <xf numFmtId="3" fontId="11" fillId="7" borderId="12" xfId="0" applyNumberFormat="1" applyFont="1" applyFill="1" applyBorder="1" applyAlignment="1" applyProtection="1">
      <alignment horizontal="center" vertical="center" wrapText="1"/>
    </xf>
    <xf numFmtId="3" fontId="11" fillId="7" borderId="6" xfId="0" applyNumberFormat="1" applyFont="1" applyFill="1" applyBorder="1" applyAlignment="1" applyProtection="1">
      <alignment horizontal="center" vertical="center" wrapText="1"/>
    </xf>
    <xf numFmtId="3" fontId="11" fillId="7" borderId="7" xfId="0" applyNumberFormat="1" applyFont="1" applyFill="1" applyBorder="1" applyAlignment="1" applyProtection="1">
      <alignment horizontal="center" vertical="center" wrapText="1"/>
    </xf>
    <xf numFmtId="3" fontId="11" fillId="7" borderId="5" xfId="0" applyNumberFormat="1" applyFont="1" applyFill="1" applyBorder="1" applyAlignment="1" applyProtection="1">
      <alignment horizontal="center" vertical="center" wrapText="1"/>
    </xf>
    <xf numFmtId="165" fontId="11" fillId="7" borderId="6" xfId="0" applyNumberFormat="1" applyFont="1" applyFill="1" applyBorder="1" applyAlignment="1" applyProtection="1">
      <alignment horizontal="center" vertical="center" wrapText="1"/>
    </xf>
    <xf numFmtId="165" fontId="11" fillId="7" borderId="7" xfId="0" applyNumberFormat="1" applyFont="1" applyFill="1" applyBorder="1" applyAlignment="1" applyProtection="1">
      <alignment horizontal="center" vertical="center" wrapText="1"/>
    </xf>
    <xf numFmtId="165" fontId="11" fillId="7" borderId="5" xfId="0" applyNumberFormat="1" applyFont="1" applyFill="1" applyBorder="1" applyAlignment="1" applyProtection="1">
      <alignment horizontal="center" vertical="center" wrapText="1"/>
    </xf>
    <xf numFmtId="0" fontId="10" fillId="3" borderId="12" xfId="0" applyFont="1" applyFill="1" applyBorder="1" applyAlignment="1" applyProtection="1">
      <alignment horizontal="center" vertical="center" wrapText="1"/>
    </xf>
    <xf numFmtId="3" fontId="11" fillId="3" borderId="2" xfId="0" applyNumberFormat="1" applyFont="1" applyFill="1" applyBorder="1" applyAlignment="1" applyProtection="1">
      <alignment horizontal="center" vertical="center" wrapText="1"/>
    </xf>
    <xf numFmtId="165" fontId="11" fillId="3" borderId="1" xfId="0" applyNumberFormat="1" applyFont="1" applyFill="1" applyBorder="1" applyAlignment="1" applyProtection="1">
      <alignment horizontal="center" vertical="center" wrapText="1"/>
    </xf>
    <xf numFmtId="165" fontId="11" fillId="3" borderId="2" xfId="0" applyNumberFormat="1" applyFont="1" applyFill="1" applyBorder="1" applyAlignment="1" applyProtection="1">
      <alignment horizontal="center" vertical="center" wrapText="1"/>
    </xf>
    <xf numFmtId="165" fontId="11" fillId="3" borderId="7" xfId="0" applyNumberFormat="1" applyFont="1" applyFill="1" applyBorder="1" applyAlignment="1" applyProtection="1">
      <alignment horizontal="center" vertical="center" wrapText="1"/>
    </xf>
    <xf numFmtId="165" fontId="11" fillId="3" borderId="12" xfId="0" applyNumberFormat="1" applyFont="1" applyFill="1" applyBorder="1" applyAlignment="1" applyProtection="1">
      <alignment horizontal="center" vertical="center" wrapText="1"/>
    </xf>
    <xf numFmtId="0" fontId="10" fillId="4" borderId="8" xfId="0" applyFont="1" applyFill="1" applyBorder="1" applyAlignment="1" applyProtection="1">
      <alignment horizontal="center" vertical="center" textRotation="90" wrapText="1"/>
    </xf>
    <xf numFmtId="0" fontId="10" fillId="4" borderId="8" xfId="0" quotePrefix="1" applyFont="1" applyFill="1" applyBorder="1" applyAlignment="1" applyProtection="1">
      <alignment horizontal="center" vertical="center" textRotation="90" wrapText="1"/>
    </xf>
    <xf numFmtId="0" fontId="11" fillId="5" borderId="8" xfId="0" applyFont="1" applyFill="1" applyBorder="1" applyAlignment="1" applyProtection="1">
      <alignment horizontal="center" vertical="center" wrapText="1"/>
    </xf>
    <xf numFmtId="3" fontId="11" fillId="5" borderId="10" xfId="0" applyNumberFormat="1" applyFont="1" applyFill="1" applyBorder="1" applyAlignment="1" applyProtection="1">
      <alignment horizontal="center" vertical="center" wrapText="1"/>
    </xf>
    <xf numFmtId="3" fontId="11" fillId="5" borderId="11" xfId="0" applyNumberFormat="1" applyFont="1" applyFill="1" applyBorder="1" applyAlignment="1" applyProtection="1">
      <alignment horizontal="center" vertical="center" wrapText="1"/>
    </xf>
    <xf numFmtId="3" fontId="11" fillId="5" borderId="9" xfId="0" applyNumberFormat="1" applyFont="1" applyFill="1" applyBorder="1" applyAlignment="1" applyProtection="1">
      <alignment horizontal="center" vertical="center" wrapText="1"/>
    </xf>
    <xf numFmtId="165" fontId="11" fillId="5" borderId="11" xfId="0" quotePrefix="1" applyNumberFormat="1" applyFont="1" applyFill="1" applyBorder="1" applyAlignment="1" applyProtection="1">
      <alignment horizontal="center" vertical="center" wrapText="1"/>
    </xf>
    <xf numFmtId="165" fontId="11" fillId="5" borderId="9" xfId="0" applyNumberFormat="1" applyFont="1" applyFill="1" applyBorder="1" applyAlignment="1" applyProtection="1">
      <alignment horizontal="center" vertical="center" wrapText="1"/>
    </xf>
    <xf numFmtId="165" fontId="11" fillId="5" borderId="10" xfId="0" applyNumberFormat="1" applyFont="1" applyFill="1" applyBorder="1" applyAlignment="1" applyProtection="1">
      <alignment horizontal="center" vertical="center" wrapText="1"/>
    </xf>
    <xf numFmtId="165" fontId="11" fillId="5" borderId="11" xfId="0" applyNumberFormat="1" applyFont="1" applyFill="1" applyBorder="1" applyAlignment="1" applyProtection="1">
      <alignment horizontal="center" vertical="center" wrapText="1"/>
    </xf>
    <xf numFmtId="0" fontId="11" fillId="2" borderId="2" xfId="0" applyFont="1" applyFill="1" applyBorder="1" applyAlignment="1" applyProtection="1">
      <alignment horizontal="center" vertical="center" wrapText="1"/>
    </xf>
    <xf numFmtId="3" fontId="11" fillId="2" borderId="0" xfId="0" applyNumberFormat="1" applyFont="1" applyFill="1" applyBorder="1" applyAlignment="1" applyProtection="1">
      <alignment horizontal="center" vertical="center" wrapText="1"/>
    </xf>
    <xf numFmtId="3" fontId="11" fillId="2" borderId="3" xfId="0" applyNumberFormat="1" applyFont="1" applyFill="1" applyBorder="1" applyAlignment="1" applyProtection="1">
      <alignment horizontal="center" vertical="center" wrapText="1"/>
    </xf>
    <xf numFmtId="3" fontId="11" fillId="2" borderId="4" xfId="0" applyNumberFormat="1" applyFont="1" applyFill="1" applyBorder="1" applyAlignment="1" applyProtection="1">
      <alignment horizontal="center" vertical="center" wrapText="1"/>
    </xf>
    <xf numFmtId="165" fontId="11" fillId="2" borderId="3" xfId="0" quotePrefix="1" applyNumberFormat="1" applyFont="1" applyFill="1" applyBorder="1" applyAlignment="1" applyProtection="1">
      <alignment horizontal="center" vertical="center" wrapText="1"/>
    </xf>
    <xf numFmtId="165" fontId="11" fillId="2" borderId="4" xfId="0" applyNumberFormat="1" applyFont="1" applyFill="1" applyBorder="1" applyAlignment="1" applyProtection="1">
      <alignment horizontal="center" vertical="center" wrapText="1"/>
    </xf>
    <xf numFmtId="165" fontId="11" fillId="2" borderId="0" xfId="0" applyNumberFormat="1" applyFont="1" applyFill="1" applyBorder="1" applyAlignment="1" applyProtection="1">
      <alignment horizontal="center" vertical="center" wrapText="1"/>
    </xf>
    <xf numFmtId="165" fontId="11" fillId="2" borderId="3" xfId="0" applyNumberFormat="1" applyFont="1" applyFill="1" applyBorder="1" applyAlignment="1" applyProtection="1">
      <alignment horizontal="center" vertical="center" wrapText="1"/>
    </xf>
    <xf numFmtId="0" fontId="11" fillId="5" borderId="2" xfId="0" applyFont="1" applyFill="1" applyBorder="1" applyAlignment="1" applyProtection="1">
      <alignment horizontal="center" vertical="center" wrapText="1"/>
    </xf>
    <xf numFmtId="3" fontId="11" fillId="5" borderId="0" xfId="0" applyNumberFormat="1" applyFont="1" applyFill="1" applyBorder="1" applyAlignment="1" applyProtection="1">
      <alignment horizontal="center" vertical="center" wrapText="1"/>
    </xf>
    <xf numFmtId="3" fontId="11" fillId="5" borderId="3" xfId="0" applyNumberFormat="1" applyFont="1" applyFill="1" applyBorder="1" applyAlignment="1" applyProtection="1">
      <alignment horizontal="center" vertical="center" wrapText="1"/>
    </xf>
    <xf numFmtId="3" fontId="11" fillId="5" borderId="4" xfId="0" applyNumberFormat="1" applyFont="1" applyFill="1" applyBorder="1" applyAlignment="1" applyProtection="1">
      <alignment horizontal="center" vertical="center" wrapText="1"/>
    </xf>
    <xf numFmtId="165" fontId="11" fillId="5" borderId="3" xfId="0" quotePrefix="1" applyNumberFormat="1" applyFont="1" applyFill="1" applyBorder="1" applyAlignment="1" applyProtection="1">
      <alignment horizontal="center" vertical="center" wrapText="1"/>
    </xf>
    <xf numFmtId="165" fontId="11" fillId="5" borderId="4" xfId="0" applyNumberFormat="1" applyFont="1" applyFill="1" applyBorder="1" applyAlignment="1" applyProtection="1">
      <alignment horizontal="center" vertical="center" wrapText="1"/>
    </xf>
    <xf numFmtId="165" fontId="11" fillId="5" borderId="0" xfId="0" applyNumberFormat="1" applyFont="1" applyFill="1" applyBorder="1" applyAlignment="1" applyProtection="1">
      <alignment horizontal="center" vertical="center" wrapText="1"/>
    </xf>
    <xf numFmtId="165" fontId="11" fillId="5" borderId="3" xfId="0" applyNumberFormat="1" applyFont="1" applyFill="1" applyBorder="1" applyAlignment="1" applyProtection="1">
      <alignment horizontal="center" vertical="center" wrapText="1"/>
    </xf>
    <xf numFmtId="0" fontId="11" fillId="2" borderId="12" xfId="0" applyFont="1" applyFill="1" applyBorder="1" applyAlignment="1" applyProtection="1">
      <alignment horizontal="center" vertical="center" wrapText="1"/>
    </xf>
    <xf numFmtId="3" fontId="11" fillId="2" borderId="6" xfId="0" applyNumberFormat="1" applyFont="1" applyFill="1" applyBorder="1" applyAlignment="1" applyProtection="1">
      <alignment horizontal="center" vertical="center" wrapText="1"/>
    </xf>
    <xf numFmtId="3" fontId="11" fillId="2" borderId="7" xfId="0" applyNumberFormat="1" applyFont="1" applyFill="1" applyBorder="1" applyAlignment="1" applyProtection="1">
      <alignment horizontal="center" vertical="center" wrapText="1"/>
    </xf>
    <xf numFmtId="3" fontId="11" fillId="2" borderId="5" xfId="0" applyNumberFormat="1" applyFont="1" applyFill="1" applyBorder="1" applyAlignment="1" applyProtection="1">
      <alignment horizontal="center" vertical="center" wrapText="1"/>
    </xf>
    <xf numFmtId="165" fontId="11" fillId="2" borderId="7" xfId="0" applyNumberFormat="1" applyFont="1" applyFill="1" applyBorder="1" applyAlignment="1" applyProtection="1">
      <alignment horizontal="center" vertical="center" wrapText="1"/>
    </xf>
    <xf numFmtId="165" fontId="11" fillId="2" borderId="5" xfId="0" applyNumberFormat="1" applyFont="1" applyFill="1" applyBorder="1" applyAlignment="1" applyProtection="1">
      <alignment horizontal="center" vertical="center" wrapText="1"/>
    </xf>
    <xf numFmtId="165" fontId="11" fillId="2" borderId="6" xfId="0" applyNumberFormat="1" applyFont="1" applyFill="1" applyBorder="1" applyAlignment="1" applyProtection="1">
      <alignment horizontal="center" vertical="center" wrapText="1"/>
    </xf>
    <xf numFmtId="0" fontId="10" fillId="4" borderId="12" xfId="0" applyFont="1" applyFill="1" applyBorder="1" applyAlignment="1" applyProtection="1">
      <alignment horizontal="center" vertical="center" wrapText="1"/>
    </xf>
    <xf numFmtId="3" fontId="11" fillId="4" borderId="12" xfId="0" applyNumberFormat="1" applyFont="1" applyFill="1" applyBorder="1" applyAlignment="1" applyProtection="1">
      <alignment horizontal="center" vertical="center" wrapText="1"/>
    </xf>
    <xf numFmtId="165" fontId="11" fillId="4" borderId="12" xfId="0" quotePrefix="1" applyNumberFormat="1" applyFont="1" applyFill="1" applyBorder="1" applyAlignment="1" applyProtection="1">
      <alignment horizontal="center" vertical="center" wrapText="1"/>
    </xf>
    <xf numFmtId="165" fontId="11" fillId="4" borderId="12" xfId="0" applyNumberFormat="1" applyFont="1" applyFill="1" applyBorder="1" applyAlignment="1" applyProtection="1">
      <alignment horizontal="center" vertical="center" wrapText="1"/>
    </xf>
    <xf numFmtId="0" fontId="10" fillId="2" borderId="1" xfId="0" applyFont="1" applyFill="1" applyBorder="1" applyAlignment="1" applyProtection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/>
    </xf>
    <xf numFmtId="3" fontId="7" fillId="5" borderId="15" xfId="0" applyNumberFormat="1" applyFont="1" applyFill="1" applyBorder="1" applyAlignment="1" applyProtection="1">
      <alignment horizontal="center" vertical="center" wrapText="1"/>
    </xf>
    <xf numFmtId="3" fontId="11" fillId="5" borderId="15" xfId="0" applyNumberFormat="1" applyFont="1" applyFill="1" applyBorder="1" applyAlignment="1" applyProtection="1">
      <alignment horizontal="center" vertical="center" wrapText="1"/>
    </xf>
    <xf numFmtId="0" fontId="10" fillId="4" borderId="1" xfId="0" applyFont="1" applyFill="1" applyBorder="1" applyAlignment="1" applyProtection="1">
      <alignment horizontal="center" vertical="center" wrapText="1"/>
    </xf>
    <xf numFmtId="0" fontId="10" fillId="4" borderId="8" xfId="0" applyFont="1" applyFill="1" applyBorder="1" applyAlignment="1" applyProtection="1">
      <alignment horizontal="center" vertical="center" wrapText="1"/>
    </xf>
    <xf numFmtId="0" fontId="10" fillId="4" borderId="1" xfId="0" applyFont="1" applyFill="1" applyBorder="1" applyAlignment="1" applyProtection="1">
      <alignment horizontal="center" vertical="center" textRotation="90" wrapText="1"/>
    </xf>
    <xf numFmtId="0" fontId="10" fillId="4" borderId="8" xfId="0" applyFont="1" applyFill="1" applyBorder="1" applyAlignment="1" applyProtection="1">
      <alignment horizontal="center" vertical="center" textRotation="90" wrapText="1"/>
    </xf>
    <xf numFmtId="0" fontId="4" fillId="2" borderId="0" xfId="0" applyFont="1" applyFill="1" applyBorder="1" applyAlignment="1" applyProtection="1">
      <alignment horizontal="center" vertical="center" wrapText="1"/>
    </xf>
    <xf numFmtId="0" fontId="10" fillId="3" borderId="1" xfId="0" applyFont="1" applyFill="1" applyBorder="1" applyAlignment="1" applyProtection="1">
      <alignment horizontal="center" vertical="center" textRotation="90" wrapText="1"/>
    </xf>
    <xf numFmtId="0" fontId="10" fillId="3" borderId="8" xfId="0" applyFont="1" applyFill="1" applyBorder="1" applyAlignment="1" applyProtection="1">
      <alignment horizontal="center" vertical="center" textRotation="90" wrapText="1"/>
    </xf>
    <xf numFmtId="0" fontId="10" fillId="3" borderId="12" xfId="0" applyFont="1" applyFill="1" applyBorder="1" applyAlignment="1" applyProtection="1">
      <alignment horizontal="center" vertical="center" textRotation="90" wrapText="1"/>
    </xf>
    <xf numFmtId="0" fontId="10" fillId="3" borderId="1" xfId="0" applyFont="1" applyFill="1" applyBorder="1" applyAlignment="1" applyProtection="1">
      <alignment horizontal="center" vertical="center" wrapText="1"/>
    </xf>
    <xf numFmtId="0" fontId="10" fillId="3" borderId="8" xfId="0" applyFont="1" applyFill="1" applyBorder="1" applyAlignment="1" applyProtection="1">
      <alignment horizontal="center" vertical="center" wrapText="1"/>
    </xf>
    <xf numFmtId="165" fontId="5" fillId="6" borderId="6" xfId="0" applyNumberFormat="1" applyFont="1" applyFill="1" applyBorder="1" applyAlignment="1" applyProtection="1">
      <alignment horizontal="center" vertical="center" wrapText="1"/>
    </xf>
    <xf numFmtId="165" fontId="9" fillId="6" borderId="6" xfId="0" applyNumberFormat="1" applyFont="1" applyFill="1" applyBorder="1" applyAlignment="1" applyProtection="1">
      <alignment horizontal="center" vertical="center" wrapText="1"/>
    </xf>
    <xf numFmtId="165" fontId="9" fillId="6" borderId="0" xfId="0" applyNumberFormat="1" applyFont="1" applyFill="1" applyBorder="1" applyAlignment="1" applyProtection="1">
      <alignment horizontal="center" vertical="center" wrapText="1"/>
    </xf>
    <xf numFmtId="0" fontId="10" fillId="0" borderId="12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25" transitionEvaluation="1" transitionEntry="1" codeName="Sheet16">
    <pageSetUpPr fitToPage="1"/>
  </sheetPr>
  <dimension ref="A1:AH510"/>
  <sheetViews>
    <sheetView showGridLines="0" tabSelected="1" view="pageBreakPreview" topLeftCell="A25" zoomScale="85" zoomScaleNormal="85" zoomScaleSheetLayoutView="85" workbookViewId="0">
      <selection activeCell="B31" sqref="B31"/>
    </sheetView>
  </sheetViews>
  <sheetFormatPr defaultColWidth="9.625" defaultRowHeight="15" x14ac:dyDescent="0.2"/>
  <cols>
    <col min="1" max="1" width="9.875" style="1" customWidth="1"/>
    <col min="2" max="2" width="9.125" style="1" customWidth="1"/>
    <col min="3" max="3" width="10" style="1" customWidth="1"/>
    <col min="4" max="4" width="10.875" style="1" customWidth="1"/>
    <col min="5" max="5" width="12.25" style="1" customWidth="1"/>
    <col min="6" max="6" width="13.5" style="1" customWidth="1"/>
    <col min="7" max="7" width="13.125" style="1" customWidth="1"/>
    <col min="8" max="8" width="8" style="1" customWidth="1"/>
    <col min="9" max="9" width="12.875" style="1" customWidth="1"/>
    <col min="10" max="10" width="10.75" style="1" customWidth="1"/>
    <col min="11" max="11" width="11.125" style="1" customWidth="1"/>
    <col min="12" max="12" width="13.125" style="1" customWidth="1"/>
    <col min="13" max="13" width="11.625" style="1" customWidth="1"/>
    <col min="14" max="14" width="11.125" style="1" customWidth="1"/>
    <col min="15" max="16" width="13.875" style="1" customWidth="1"/>
    <col min="17" max="17" width="7" style="1" customWidth="1"/>
    <col min="18" max="18" width="5.125" style="1" customWidth="1"/>
    <col min="19" max="16384" width="9.625" style="1"/>
  </cols>
  <sheetData>
    <row r="1" spans="1:34" s="4" customFormat="1" ht="49.5" customHeight="1" x14ac:dyDescent="0.25">
      <c r="A1" s="89" t="s">
        <v>33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1"/>
      <c r="Q1" s="91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</row>
    <row r="2" spans="1:34" s="4" customFormat="1" ht="33" customHeight="1" x14ac:dyDescent="0.25">
      <c r="A2" s="87" t="s">
        <v>10</v>
      </c>
      <c r="B2" s="87" t="s">
        <v>2</v>
      </c>
      <c r="C2" s="87"/>
      <c r="D2" s="87"/>
      <c r="E2" s="84" t="s">
        <v>19</v>
      </c>
      <c r="F2" s="84" t="s">
        <v>20</v>
      </c>
      <c r="G2" s="84" t="s">
        <v>21</v>
      </c>
      <c r="H2" s="85" t="s">
        <v>28</v>
      </c>
      <c r="I2" s="88" t="s">
        <v>3</v>
      </c>
      <c r="J2" s="87"/>
      <c r="K2" s="87"/>
      <c r="L2" s="88" t="s">
        <v>32</v>
      </c>
      <c r="M2" s="87"/>
      <c r="N2" s="87"/>
      <c r="O2" s="87"/>
      <c r="P2" s="84" t="s">
        <v>27</v>
      </c>
      <c r="Q2" s="85" t="s">
        <v>29</v>
      </c>
    </row>
    <row r="3" spans="1:34" s="4" customFormat="1" ht="171.75" customHeight="1" x14ac:dyDescent="0.25">
      <c r="A3" s="88"/>
      <c r="B3" s="6" t="s">
        <v>16</v>
      </c>
      <c r="C3" s="6" t="s">
        <v>17</v>
      </c>
      <c r="D3" s="6" t="s">
        <v>18</v>
      </c>
      <c r="E3" s="84"/>
      <c r="F3" s="84"/>
      <c r="G3" s="84"/>
      <c r="H3" s="86"/>
      <c r="I3" s="6" t="s">
        <v>22</v>
      </c>
      <c r="J3" s="6" t="s">
        <v>23</v>
      </c>
      <c r="K3" s="7" t="s">
        <v>24</v>
      </c>
      <c r="L3" s="6" t="s">
        <v>30</v>
      </c>
      <c r="M3" s="8" t="s">
        <v>25</v>
      </c>
      <c r="N3" s="9" t="s">
        <v>26</v>
      </c>
      <c r="O3" s="9" t="s">
        <v>31</v>
      </c>
      <c r="P3" s="84"/>
      <c r="Q3" s="86"/>
    </row>
    <row r="4" spans="1:34" s="4" customFormat="1" ht="27.75" customHeight="1" x14ac:dyDescent="0.25">
      <c r="A4" s="10" t="s">
        <v>14</v>
      </c>
      <c r="B4" s="11">
        <v>14400</v>
      </c>
      <c r="C4" s="11">
        <v>62027.923333333318</v>
      </c>
      <c r="D4" s="12">
        <v>48943.64</v>
      </c>
      <c r="E4" s="13">
        <v>2311641</v>
      </c>
      <c r="F4" s="11">
        <v>7552852.6529999999</v>
      </c>
      <c r="G4" s="11">
        <v>8883763.7910000011</v>
      </c>
      <c r="H4" s="14">
        <f>F4/G4*100</f>
        <v>85.018611825898319</v>
      </c>
      <c r="I4" s="15">
        <v>18775.607199999999</v>
      </c>
      <c r="J4" s="15">
        <v>562.65600000000006</v>
      </c>
      <c r="K4" s="15">
        <f>SUM(I4:J4)</f>
        <v>19338.263199999998</v>
      </c>
      <c r="L4" s="16">
        <v>714550.79407600022</v>
      </c>
      <c r="M4" s="15">
        <v>81648.420867099951</v>
      </c>
      <c r="N4" s="15">
        <v>3191.369756000006</v>
      </c>
      <c r="O4" s="14">
        <f>SUM(L4:N4)</f>
        <v>799390.58469910023</v>
      </c>
      <c r="P4" s="16">
        <v>1088795.8701930009</v>
      </c>
      <c r="Q4" s="14">
        <f>O4/P4*100</f>
        <v>73.419692945510491</v>
      </c>
    </row>
    <row r="5" spans="1:34" s="4" customFormat="1" ht="27.75" customHeight="1" x14ac:dyDescent="0.25">
      <c r="A5" s="17" t="s">
        <v>13</v>
      </c>
      <c r="B5" s="18">
        <v>12991</v>
      </c>
      <c r="C5" s="18">
        <v>55180.926666666666</v>
      </c>
      <c r="D5" s="19">
        <v>43919.019</v>
      </c>
      <c r="E5" s="20">
        <v>1934992</v>
      </c>
      <c r="F5" s="18">
        <v>6337367.7050000001</v>
      </c>
      <c r="G5" s="18">
        <v>8066226.585</v>
      </c>
      <c r="H5" s="21">
        <f>F5/G5*100</f>
        <v>78.566695817657845</v>
      </c>
      <c r="I5" s="22">
        <v>18926.300580000003</v>
      </c>
      <c r="J5" s="22">
        <v>345.87399999999997</v>
      </c>
      <c r="K5" s="22">
        <f>SUM(I5:J5)</f>
        <v>19272.174580000003</v>
      </c>
      <c r="L5" s="23">
        <v>598570.82221700018</v>
      </c>
      <c r="M5" s="22">
        <v>82383.273689199967</v>
      </c>
      <c r="N5" s="22">
        <v>2284.8049719999999</v>
      </c>
      <c r="O5" s="21">
        <f>SUM(L5:N5)</f>
        <v>683238.90087820007</v>
      </c>
      <c r="P5" s="23">
        <v>982324.2149710001</v>
      </c>
      <c r="Q5" s="21">
        <f>O5/P5*100</f>
        <v>69.553299253482265</v>
      </c>
    </row>
    <row r="6" spans="1:34" s="4" customFormat="1" ht="27.75" customHeight="1" x14ac:dyDescent="0.25">
      <c r="A6" s="10" t="s">
        <v>9</v>
      </c>
      <c r="B6" s="11">
        <v>6903</v>
      </c>
      <c r="C6" s="11">
        <v>29035.949999999986</v>
      </c>
      <c r="D6" s="12">
        <v>23962.754000000001</v>
      </c>
      <c r="E6" s="13">
        <v>913396</v>
      </c>
      <c r="F6" s="11">
        <v>3137725.7230000002</v>
      </c>
      <c r="G6" s="11">
        <v>4411089.7070000004</v>
      </c>
      <c r="H6" s="14">
        <f>F6/G6*100</f>
        <v>71.132666334595584</v>
      </c>
      <c r="I6" s="15">
        <v>12596.215080000002</v>
      </c>
      <c r="J6" s="15">
        <v>223.83500000000001</v>
      </c>
      <c r="K6" s="15">
        <f>SUM(I6:J6)</f>
        <v>12820.050080000001</v>
      </c>
      <c r="L6" s="16">
        <v>298309.2696890001</v>
      </c>
      <c r="M6" s="15">
        <v>53855.411573800026</v>
      </c>
      <c r="N6" s="15">
        <v>1537.747394</v>
      </c>
      <c r="O6" s="14">
        <f>SUM(L6:N6)</f>
        <v>353702.42865680013</v>
      </c>
      <c r="P6" s="16">
        <v>529264.95669000002</v>
      </c>
      <c r="Q6" s="14">
        <f>O6/P6*100</f>
        <v>66.828990694724951</v>
      </c>
    </row>
    <row r="7" spans="1:34" s="4" customFormat="1" ht="27.75" customHeight="1" x14ac:dyDescent="0.25">
      <c r="A7" s="17" t="s">
        <v>5</v>
      </c>
      <c r="B7" s="18"/>
      <c r="C7" s="18"/>
      <c r="D7" s="19"/>
      <c r="E7" s="20"/>
      <c r="F7" s="18"/>
      <c r="G7" s="18"/>
      <c r="H7" s="21"/>
      <c r="I7" s="22"/>
      <c r="J7" s="22"/>
      <c r="K7" s="22"/>
      <c r="L7" s="23"/>
      <c r="M7" s="22"/>
      <c r="N7" s="22"/>
      <c r="O7" s="21"/>
      <c r="P7" s="23"/>
      <c r="Q7" s="21"/>
    </row>
    <row r="8" spans="1:34" s="4" customFormat="1" ht="27.75" customHeight="1" x14ac:dyDescent="0.25">
      <c r="A8" s="10" t="s">
        <v>6</v>
      </c>
      <c r="B8" s="11"/>
      <c r="C8" s="11"/>
      <c r="D8" s="12"/>
      <c r="E8" s="13"/>
      <c r="F8" s="11"/>
      <c r="G8" s="11"/>
      <c r="H8" s="14"/>
      <c r="I8" s="15"/>
      <c r="J8" s="15"/>
      <c r="K8" s="15"/>
      <c r="L8" s="16"/>
      <c r="M8" s="15"/>
      <c r="N8" s="15"/>
      <c r="O8" s="14"/>
      <c r="P8" s="16"/>
      <c r="Q8" s="14"/>
    </row>
    <row r="9" spans="1:34" s="4" customFormat="1" ht="27.75" customHeight="1" x14ac:dyDescent="0.25">
      <c r="A9" s="17" t="s">
        <v>35</v>
      </c>
      <c r="B9" s="18"/>
      <c r="C9" s="18"/>
      <c r="D9" s="19"/>
      <c r="E9" s="20"/>
      <c r="F9" s="18"/>
      <c r="G9" s="18"/>
      <c r="H9" s="21"/>
      <c r="I9" s="22"/>
      <c r="J9" s="22"/>
      <c r="K9" s="22"/>
      <c r="L9" s="23"/>
      <c r="M9" s="22"/>
      <c r="N9" s="22"/>
      <c r="O9" s="21"/>
      <c r="P9" s="23"/>
      <c r="Q9" s="21"/>
    </row>
    <row r="10" spans="1:34" s="4" customFormat="1" ht="27.75" customHeight="1" x14ac:dyDescent="0.25">
      <c r="A10" s="10" t="s">
        <v>36</v>
      </c>
      <c r="B10" s="11"/>
      <c r="C10" s="11"/>
      <c r="D10" s="12"/>
      <c r="E10" s="13"/>
      <c r="F10" s="11"/>
      <c r="G10" s="11"/>
      <c r="H10" s="14"/>
      <c r="I10" s="15"/>
      <c r="J10" s="15"/>
      <c r="K10" s="15"/>
      <c r="L10" s="16"/>
      <c r="M10" s="15"/>
      <c r="N10" s="15"/>
      <c r="O10" s="14"/>
      <c r="P10" s="16"/>
      <c r="Q10" s="14"/>
    </row>
    <row r="11" spans="1:34" s="4" customFormat="1" ht="27.75" customHeight="1" x14ac:dyDescent="0.25">
      <c r="A11" s="17" t="s">
        <v>37</v>
      </c>
      <c r="B11" s="18"/>
      <c r="C11" s="18"/>
      <c r="D11" s="19"/>
      <c r="E11" s="20"/>
      <c r="F11" s="18"/>
      <c r="G11" s="18"/>
      <c r="H11" s="21"/>
      <c r="I11" s="22"/>
      <c r="J11" s="22"/>
      <c r="K11" s="22"/>
      <c r="L11" s="23"/>
      <c r="M11" s="22"/>
      <c r="N11" s="22"/>
      <c r="O11" s="21"/>
      <c r="P11" s="23"/>
      <c r="Q11" s="21"/>
    </row>
    <row r="12" spans="1:34" s="4" customFormat="1" ht="27.75" customHeight="1" x14ac:dyDescent="0.25">
      <c r="A12" s="10" t="s">
        <v>38</v>
      </c>
      <c r="B12" s="11"/>
      <c r="C12" s="11"/>
      <c r="D12" s="12"/>
      <c r="E12" s="13"/>
      <c r="F12" s="11"/>
      <c r="G12" s="11"/>
      <c r="H12" s="14"/>
      <c r="I12" s="15"/>
      <c r="J12" s="15"/>
      <c r="K12" s="15"/>
      <c r="L12" s="16"/>
      <c r="M12" s="15"/>
      <c r="N12" s="15"/>
      <c r="O12" s="14"/>
      <c r="P12" s="16"/>
      <c r="Q12" s="14"/>
    </row>
    <row r="13" spans="1:34" s="4" customFormat="1" ht="27.75" customHeight="1" x14ac:dyDescent="0.25">
      <c r="A13" s="17" t="s">
        <v>39</v>
      </c>
      <c r="B13" s="18"/>
      <c r="C13" s="18"/>
      <c r="D13" s="19"/>
      <c r="E13" s="20"/>
      <c r="F13" s="18"/>
      <c r="G13" s="18"/>
      <c r="H13" s="21"/>
      <c r="I13" s="22"/>
      <c r="J13" s="22"/>
      <c r="K13" s="22"/>
      <c r="L13" s="23"/>
      <c r="M13" s="22"/>
      <c r="N13" s="22"/>
      <c r="O13" s="21"/>
      <c r="P13" s="23"/>
      <c r="Q13" s="21"/>
    </row>
    <row r="14" spans="1:34" s="4" customFormat="1" ht="27.75" customHeight="1" x14ac:dyDescent="0.25">
      <c r="A14" s="10" t="s">
        <v>7</v>
      </c>
      <c r="B14" s="11"/>
      <c r="C14" s="11"/>
      <c r="D14" s="12"/>
      <c r="E14" s="13"/>
      <c r="F14" s="11"/>
      <c r="G14" s="11"/>
      <c r="H14" s="14"/>
      <c r="I14" s="15"/>
      <c r="J14" s="15"/>
      <c r="K14" s="15"/>
      <c r="L14" s="16"/>
      <c r="M14" s="15"/>
      <c r="N14" s="15"/>
      <c r="O14" s="14"/>
      <c r="P14" s="16"/>
      <c r="Q14" s="14"/>
    </row>
    <row r="15" spans="1:34" s="4" customFormat="1" ht="27.75" customHeight="1" x14ac:dyDescent="0.25">
      <c r="A15" s="24" t="s">
        <v>8</v>
      </c>
      <c r="B15" s="25"/>
      <c r="C15" s="25"/>
      <c r="D15" s="26"/>
      <c r="E15" s="27"/>
      <c r="F15" s="25"/>
      <c r="G15" s="25"/>
      <c r="H15" s="21"/>
      <c r="I15" s="28"/>
      <c r="J15" s="28"/>
      <c r="K15" s="28"/>
      <c r="L15" s="23"/>
      <c r="M15" s="28"/>
      <c r="N15" s="28"/>
      <c r="O15" s="29"/>
      <c r="P15" s="30"/>
      <c r="Q15" s="21"/>
    </row>
    <row r="16" spans="1:34" s="4" customFormat="1" ht="27.75" customHeight="1" x14ac:dyDescent="0.25">
      <c r="A16" s="31" t="s">
        <v>4</v>
      </c>
      <c r="B16" s="32">
        <f t="shared" ref="B16:G16" si="0">SUM(B4:B15)</f>
        <v>34294</v>
      </c>
      <c r="C16" s="32">
        <f t="shared" si="0"/>
        <v>146244.79999999996</v>
      </c>
      <c r="D16" s="32">
        <f t="shared" si="0"/>
        <v>116825.413</v>
      </c>
      <c r="E16" s="32">
        <f t="shared" si="0"/>
        <v>5160029</v>
      </c>
      <c r="F16" s="32">
        <f t="shared" si="0"/>
        <v>17027946.081</v>
      </c>
      <c r="G16" s="32">
        <f t="shared" si="0"/>
        <v>21361080.083000004</v>
      </c>
      <c r="H16" s="33">
        <f t="shared" ref="H16" si="1">(F16/G16)*100</f>
        <v>79.714817859568427</v>
      </c>
      <c r="I16" s="34">
        <f t="shared" ref="I16:P16" si="2">SUM(I4:I15)</f>
        <v>50298.122860000003</v>
      </c>
      <c r="J16" s="34">
        <f t="shared" si="2"/>
        <v>1132.365</v>
      </c>
      <c r="K16" s="34">
        <f t="shared" si="2"/>
        <v>51430.487860000001</v>
      </c>
      <c r="L16" s="33">
        <f t="shared" si="2"/>
        <v>1611430.8859820007</v>
      </c>
      <c r="M16" s="35">
        <f t="shared" si="2"/>
        <v>217887.10613009994</v>
      </c>
      <c r="N16" s="34">
        <f t="shared" si="2"/>
        <v>7013.9221220000054</v>
      </c>
      <c r="O16" s="36">
        <f t="shared" si="2"/>
        <v>1836331.9142341004</v>
      </c>
      <c r="P16" s="33">
        <f t="shared" si="2"/>
        <v>2600385.0418540011</v>
      </c>
      <c r="Q16" s="33">
        <f t="shared" ref="Q16" si="3">(O16/P16)*100</f>
        <v>70.617692560054408</v>
      </c>
    </row>
    <row r="17" spans="1:34" s="4" customFormat="1" ht="27.75" customHeight="1" x14ac:dyDescent="0.25">
      <c r="A17" s="74" t="s">
        <v>15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92"/>
      <c r="Q17" s="92"/>
    </row>
    <row r="18" spans="1:34" s="5" customFormat="1" ht="27.75" customHeight="1" x14ac:dyDescent="0.15">
      <c r="A18" s="76" t="s">
        <v>12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</row>
    <row r="19" spans="1:34" s="5" customFormat="1" ht="27.75" customHeight="1" x14ac:dyDescent="0.15">
      <c r="A19" s="76" t="s">
        <v>11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</row>
    <row r="20" spans="1:34" ht="66.75" customHeight="1" x14ac:dyDescent="0.2">
      <c r="A20" s="77" t="s">
        <v>34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</row>
    <row r="21" spans="1:34" ht="30" customHeight="1" x14ac:dyDescent="0.2">
      <c r="A21" s="79" t="s">
        <v>10</v>
      </c>
      <c r="B21" s="79" t="s">
        <v>2</v>
      </c>
      <c r="C21" s="79"/>
      <c r="D21" s="79"/>
      <c r="E21" s="81" t="s">
        <v>19</v>
      </c>
      <c r="F21" s="81" t="s">
        <v>20</v>
      </c>
      <c r="G21" s="81" t="s">
        <v>21</v>
      </c>
      <c r="H21" s="81" t="s">
        <v>28</v>
      </c>
      <c r="I21" s="79" t="s">
        <v>3</v>
      </c>
      <c r="J21" s="79"/>
      <c r="K21" s="79"/>
      <c r="L21" s="79" t="s">
        <v>32</v>
      </c>
      <c r="M21" s="79"/>
      <c r="N21" s="79"/>
      <c r="O21" s="79"/>
      <c r="P21" s="81" t="s">
        <v>27</v>
      </c>
      <c r="Q21" s="81" t="s">
        <v>29</v>
      </c>
    </row>
    <row r="22" spans="1:34" ht="171" customHeight="1" x14ac:dyDescent="0.2">
      <c r="A22" s="80"/>
      <c r="B22" s="37" t="s">
        <v>16</v>
      </c>
      <c r="C22" s="37" t="s">
        <v>17</v>
      </c>
      <c r="D22" s="37" t="s">
        <v>18</v>
      </c>
      <c r="E22" s="82"/>
      <c r="F22" s="82"/>
      <c r="G22" s="82"/>
      <c r="H22" s="82"/>
      <c r="I22" s="37" t="s">
        <v>22</v>
      </c>
      <c r="J22" s="38" t="s">
        <v>23</v>
      </c>
      <c r="K22" s="37" t="s">
        <v>24</v>
      </c>
      <c r="L22" s="37" t="s">
        <v>30</v>
      </c>
      <c r="M22" s="37" t="s">
        <v>25</v>
      </c>
      <c r="N22" s="37" t="s">
        <v>26</v>
      </c>
      <c r="O22" s="37" t="s">
        <v>31</v>
      </c>
      <c r="P22" s="82"/>
      <c r="Q22" s="82"/>
    </row>
    <row r="23" spans="1:34" ht="27" customHeight="1" x14ac:dyDescent="0.2">
      <c r="A23" s="39" t="s">
        <v>14</v>
      </c>
      <c r="B23" s="40"/>
      <c r="C23" s="40"/>
      <c r="D23" s="41"/>
      <c r="E23" s="42"/>
      <c r="F23" s="40"/>
      <c r="G23" s="40"/>
      <c r="H23" s="43"/>
      <c r="I23" s="44"/>
      <c r="J23" s="45"/>
      <c r="K23" s="45"/>
      <c r="L23" s="44"/>
      <c r="M23" s="45"/>
      <c r="N23" s="45"/>
      <c r="O23" s="46"/>
      <c r="P23" s="45"/>
      <c r="Q23" s="43"/>
    </row>
    <row r="24" spans="1:34" ht="27" customHeight="1" x14ac:dyDescent="0.2">
      <c r="A24" s="47" t="s">
        <v>13</v>
      </c>
      <c r="B24" s="48"/>
      <c r="C24" s="48"/>
      <c r="D24" s="49"/>
      <c r="E24" s="50"/>
      <c r="F24" s="48"/>
      <c r="G24" s="48"/>
      <c r="H24" s="51"/>
      <c r="I24" s="52"/>
      <c r="J24" s="53"/>
      <c r="K24" s="53"/>
      <c r="L24" s="52"/>
      <c r="M24" s="53"/>
      <c r="N24" s="53"/>
      <c r="O24" s="54"/>
      <c r="P24" s="53"/>
      <c r="Q24" s="51"/>
    </row>
    <row r="25" spans="1:34" ht="27" customHeight="1" x14ac:dyDescent="0.2">
      <c r="A25" s="55" t="s">
        <v>9</v>
      </c>
      <c r="B25" s="56"/>
      <c r="C25" s="56"/>
      <c r="D25" s="57"/>
      <c r="E25" s="58"/>
      <c r="F25" s="56"/>
      <c r="G25" s="56"/>
      <c r="H25" s="59"/>
      <c r="I25" s="60"/>
      <c r="J25" s="61"/>
      <c r="K25" s="61"/>
      <c r="L25" s="60"/>
      <c r="M25" s="61"/>
      <c r="N25" s="61"/>
      <c r="O25" s="62"/>
      <c r="P25" s="61"/>
      <c r="Q25" s="59"/>
    </row>
    <row r="26" spans="1:34" ht="27" customHeight="1" x14ac:dyDescent="0.2">
      <c r="A26" s="47" t="s">
        <v>5</v>
      </c>
      <c r="B26" s="48">
        <v>349</v>
      </c>
      <c r="C26" s="48">
        <v>1554.0666666666662</v>
      </c>
      <c r="D26" s="49">
        <v>1332.009</v>
      </c>
      <c r="E26" s="50">
        <v>3505</v>
      </c>
      <c r="F26" s="48">
        <v>10032.445</v>
      </c>
      <c r="G26" s="48">
        <v>129675.916</v>
      </c>
      <c r="H26" s="51"/>
      <c r="I26" s="52">
        <v>2570.72127</v>
      </c>
      <c r="J26" s="53"/>
      <c r="K26" s="53">
        <f>SUM(I26:J26)</f>
        <v>2570.72127</v>
      </c>
      <c r="L26" s="52">
        <v>752.43337500000007</v>
      </c>
      <c r="M26" s="53">
        <v>8392.5115680000017</v>
      </c>
      <c r="N26" s="53"/>
      <c r="O26" s="54">
        <f>SUM(L26:N26)</f>
        <v>9144.9449430000022</v>
      </c>
      <c r="P26" s="53">
        <v>34190.564360000018</v>
      </c>
      <c r="Q26" s="51">
        <f t="shared" ref="Q26:Q28" si="4">O26/P26*100</f>
        <v>26.746984480018675</v>
      </c>
    </row>
    <row r="27" spans="1:34" ht="27" customHeight="1" x14ac:dyDescent="0.2">
      <c r="A27" s="55" t="s">
        <v>6</v>
      </c>
      <c r="B27" s="56">
        <v>622</v>
      </c>
      <c r="C27" s="56">
        <v>3350.2333333333336</v>
      </c>
      <c r="D27" s="57">
        <v>3305.09</v>
      </c>
      <c r="E27" s="58">
        <v>61222</v>
      </c>
      <c r="F27" s="56">
        <v>330068.61200000002</v>
      </c>
      <c r="G27" s="56">
        <v>587123.89100000006</v>
      </c>
      <c r="H27" s="59">
        <f t="shared" ref="H27:H28" si="5">(F27/G27)*100</f>
        <v>56.217881278484718</v>
      </c>
      <c r="I27" s="60">
        <v>6112.4781999999987</v>
      </c>
      <c r="J27" s="61">
        <v>35.57</v>
      </c>
      <c r="K27" s="61">
        <f t="shared" ref="K27:K28" si="6">SUM(I27:J27)</f>
        <v>6148.0481999999984</v>
      </c>
      <c r="L27" s="60">
        <v>28700.330399999999</v>
      </c>
      <c r="M27" s="61">
        <v>9889.5816596000004</v>
      </c>
      <c r="N27" s="61">
        <v>302.16000000000003</v>
      </c>
      <c r="O27" s="62">
        <f t="shared" ref="O27:O28" si="7">SUM(L27:N27)</f>
        <v>38892.072059600003</v>
      </c>
      <c r="P27" s="61">
        <v>78276.653900000005</v>
      </c>
      <c r="Q27" s="59">
        <f t="shared" si="4"/>
        <v>49.685404423757568</v>
      </c>
    </row>
    <row r="28" spans="1:34" ht="27" customHeight="1" x14ac:dyDescent="0.2">
      <c r="A28" s="47" t="s">
        <v>35</v>
      </c>
      <c r="B28" s="48">
        <v>1656</v>
      </c>
      <c r="C28" s="48">
        <v>9217.2033333333329</v>
      </c>
      <c r="D28" s="49">
        <v>9184.4088064516127</v>
      </c>
      <c r="E28" s="50">
        <v>233610</v>
      </c>
      <c r="F28" s="48">
        <v>1275369.057</v>
      </c>
      <c r="G28" s="48">
        <v>1679970.2339999999</v>
      </c>
      <c r="H28" s="51">
        <f t="shared" si="5"/>
        <v>75.916169893281577</v>
      </c>
      <c r="I28" s="52">
        <v>6798.0105399999993</v>
      </c>
      <c r="J28" s="53">
        <v>1.1659999999999999</v>
      </c>
      <c r="K28" s="53">
        <f t="shared" si="6"/>
        <v>6799.1765399999995</v>
      </c>
      <c r="L28" s="52">
        <v>113350.400218</v>
      </c>
      <c r="M28" s="53">
        <v>13962.3913106</v>
      </c>
      <c r="N28" s="53">
        <v>6.5149638061441486</v>
      </c>
      <c r="O28" s="54">
        <f t="shared" si="7"/>
        <v>127319.30649240613</v>
      </c>
      <c r="P28" s="53">
        <v>224547.81320500001</v>
      </c>
      <c r="Q28" s="51">
        <f t="shared" si="4"/>
        <v>56.700310136697027</v>
      </c>
    </row>
    <row r="29" spans="1:34" ht="27" customHeight="1" x14ac:dyDescent="0.2">
      <c r="A29" s="55" t="s">
        <v>36</v>
      </c>
      <c r="B29" s="56">
        <v>3033</v>
      </c>
      <c r="C29" s="56">
        <v>13457.120666666673</v>
      </c>
      <c r="D29" s="57">
        <v>11570.007000000001</v>
      </c>
      <c r="E29" s="58">
        <v>323458</v>
      </c>
      <c r="F29" s="56">
        <v>1443386.3489999999</v>
      </c>
      <c r="G29" s="56">
        <v>2018870.8050000002</v>
      </c>
      <c r="H29" s="59">
        <f t="shared" ref="H29:H34" si="8">(F29/G29)*100</f>
        <v>71.494735840711698</v>
      </c>
      <c r="I29" s="60">
        <v>8194.7693400000007</v>
      </c>
      <c r="J29" s="61">
        <v>4.605999999999999</v>
      </c>
      <c r="K29" s="61">
        <f t="shared" ref="K29:K34" si="9">SUM(I29:J29)</f>
        <v>8199.3753400000005</v>
      </c>
      <c r="L29" s="60">
        <v>124155.81438499995</v>
      </c>
      <c r="M29" s="61">
        <v>26320.260105000008</v>
      </c>
      <c r="N29" s="61">
        <v>10.873496999999999</v>
      </c>
      <c r="O29" s="62">
        <f t="shared" ref="O29:O34" si="10">SUM(L29:N29)</f>
        <v>150486.94798699996</v>
      </c>
      <c r="P29" s="61">
        <v>286251.30921000027</v>
      </c>
      <c r="Q29" s="59">
        <f t="shared" ref="Q29:Q34" si="11">O29/P29*100</f>
        <v>52.571619114097892</v>
      </c>
    </row>
    <row r="30" spans="1:34" ht="27" customHeight="1" x14ac:dyDescent="0.2">
      <c r="A30" s="47" t="s">
        <v>37</v>
      </c>
      <c r="B30" s="48">
        <v>3203</v>
      </c>
      <c r="C30" s="48">
        <v>15357.203333333337</v>
      </c>
      <c r="D30" s="49">
        <v>11079.769774193548</v>
      </c>
      <c r="E30" s="50">
        <v>323823</v>
      </c>
      <c r="F30" s="48">
        <v>1484181.639</v>
      </c>
      <c r="G30" s="48">
        <v>2140495.1469999999</v>
      </c>
      <c r="H30" s="51">
        <f t="shared" si="8"/>
        <v>69.338238915427922</v>
      </c>
      <c r="I30" s="52">
        <v>8217.2363700000005</v>
      </c>
      <c r="J30" s="53">
        <v>4.1809999999999992</v>
      </c>
      <c r="K30" s="53">
        <f t="shared" si="9"/>
        <v>8221.417370000001</v>
      </c>
      <c r="L30" s="52">
        <v>127094.31447899996</v>
      </c>
      <c r="M30" s="53">
        <v>28816.577984489981</v>
      </c>
      <c r="N30" s="53">
        <v>11.951836999999999</v>
      </c>
      <c r="O30" s="54">
        <f t="shared" si="10"/>
        <v>155922.84430048996</v>
      </c>
      <c r="P30" s="53">
        <v>283929.56179699989</v>
      </c>
      <c r="Q30" s="51">
        <f t="shared" si="11"/>
        <v>54.916030339936761</v>
      </c>
    </row>
    <row r="31" spans="1:34" ht="27" customHeight="1" x14ac:dyDescent="0.2">
      <c r="A31" s="55" t="s">
        <v>38</v>
      </c>
      <c r="B31" s="56">
        <v>3699</v>
      </c>
      <c r="C31" s="56">
        <v>17555.143999999993</v>
      </c>
      <c r="D31" s="57">
        <v>13371.055</v>
      </c>
      <c r="E31" s="58">
        <v>381560</v>
      </c>
      <c r="F31" s="56">
        <v>1584052.1300000001</v>
      </c>
      <c r="G31" s="56">
        <v>2627535.2659999998</v>
      </c>
      <c r="H31" s="59">
        <f t="shared" si="8"/>
        <v>60.286617291019837</v>
      </c>
      <c r="I31" s="60">
        <v>10188.378710000003</v>
      </c>
      <c r="J31" s="61">
        <v>10.614000000000001</v>
      </c>
      <c r="K31" s="61">
        <f t="shared" si="9"/>
        <v>10198.992710000002</v>
      </c>
      <c r="L31" s="60">
        <v>137871.66099899996</v>
      </c>
      <c r="M31" s="61">
        <v>42154.468052690019</v>
      </c>
      <c r="N31" s="61">
        <v>32.139823</v>
      </c>
      <c r="O31" s="62">
        <f t="shared" si="10"/>
        <v>180058.26887468999</v>
      </c>
      <c r="P31" s="61">
        <v>373066.16627100011</v>
      </c>
      <c r="Q31" s="59">
        <f t="shared" si="11"/>
        <v>48.264432734404899</v>
      </c>
    </row>
    <row r="32" spans="1:34" ht="27" customHeight="1" x14ac:dyDescent="0.2">
      <c r="A32" s="47" t="s">
        <v>39</v>
      </c>
      <c r="B32" s="48">
        <v>4471</v>
      </c>
      <c r="C32" s="48">
        <v>20609.391600000006</v>
      </c>
      <c r="D32" s="49">
        <v>15717.543999999998</v>
      </c>
      <c r="E32" s="50">
        <v>500776</v>
      </c>
      <c r="F32" s="48">
        <v>1919618.0460000001</v>
      </c>
      <c r="G32" s="48">
        <v>3066341.6040000003</v>
      </c>
      <c r="H32" s="51">
        <f t="shared" si="8"/>
        <v>62.602876453682946</v>
      </c>
      <c r="I32" s="52">
        <v>12100.415379999999</v>
      </c>
      <c r="J32" s="53">
        <v>4.5539999999999994</v>
      </c>
      <c r="K32" s="53">
        <f t="shared" si="9"/>
        <v>12104.969379999999</v>
      </c>
      <c r="L32" s="52">
        <v>165372.65108499996</v>
      </c>
      <c r="M32" s="53">
        <v>54276.845876859981</v>
      </c>
      <c r="N32" s="53">
        <v>12.904078999999999</v>
      </c>
      <c r="O32" s="54">
        <f t="shared" si="10"/>
        <v>219662.40104085993</v>
      </c>
      <c r="P32" s="53">
        <v>412121.19116600009</v>
      </c>
      <c r="Q32" s="51">
        <f t="shared" si="11"/>
        <v>53.300438256857596</v>
      </c>
    </row>
    <row r="33" spans="1:17" ht="27" customHeight="1" x14ac:dyDescent="0.2">
      <c r="A33" s="55" t="s">
        <v>7</v>
      </c>
      <c r="B33" s="56">
        <v>5036</v>
      </c>
      <c r="C33" s="56">
        <v>22129.847996666667</v>
      </c>
      <c r="D33" s="57">
        <v>16588.088000000003</v>
      </c>
      <c r="E33" s="58">
        <v>580392</v>
      </c>
      <c r="F33" s="56">
        <v>2019890.4560000002</v>
      </c>
      <c r="G33" s="56">
        <v>3174902.6550000003</v>
      </c>
      <c r="H33" s="59">
        <f t="shared" si="8"/>
        <v>63.620547635341595</v>
      </c>
      <c r="I33" s="60">
        <v>11538.966489999999</v>
      </c>
      <c r="J33" s="61">
        <v>9.3170000000000002</v>
      </c>
      <c r="K33" s="61">
        <f t="shared" si="9"/>
        <v>11548.283489999998</v>
      </c>
      <c r="L33" s="60">
        <v>183604.72895199998</v>
      </c>
      <c r="M33" s="61">
        <v>48706.519389409965</v>
      </c>
      <c r="N33" s="61">
        <v>28.172491000000001</v>
      </c>
      <c r="O33" s="62">
        <f t="shared" si="10"/>
        <v>232339.42083240996</v>
      </c>
      <c r="P33" s="61">
        <v>429265.6043660001</v>
      </c>
      <c r="Q33" s="59">
        <f t="shared" si="11"/>
        <v>54.124863131198587</v>
      </c>
    </row>
    <row r="34" spans="1:17" ht="27" customHeight="1" x14ac:dyDescent="0.2">
      <c r="A34" s="63" t="s">
        <v>8</v>
      </c>
      <c r="B34" s="64">
        <v>5638</v>
      </c>
      <c r="C34" s="64">
        <v>24418.226666666666</v>
      </c>
      <c r="D34" s="65">
        <v>18267.241000000002</v>
      </c>
      <c r="E34" s="66">
        <v>705313</v>
      </c>
      <c r="F34" s="64">
        <v>2629580.094</v>
      </c>
      <c r="G34" s="64">
        <v>3505880.392</v>
      </c>
      <c r="H34" s="67">
        <f t="shared" si="8"/>
        <v>75.004843291299593</v>
      </c>
      <c r="I34" s="68">
        <v>11180.322530000001</v>
      </c>
      <c r="J34" s="69">
        <v>845.3775099999998</v>
      </c>
      <c r="K34" s="69">
        <f t="shared" si="9"/>
        <v>12025.700040000002</v>
      </c>
      <c r="L34" s="68">
        <v>222575.13962900001</v>
      </c>
      <c r="M34" s="69">
        <v>52276.255792329976</v>
      </c>
      <c r="N34" s="69">
        <v>1753.3527717000002</v>
      </c>
      <c r="O34" s="67">
        <f t="shared" si="10"/>
        <v>276604.74819303001</v>
      </c>
      <c r="P34" s="69">
        <v>466735.67799000011</v>
      </c>
      <c r="Q34" s="67">
        <f t="shared" si="11"/>
        <v>59.263682044670333</v>
      </c>
    </row>
    <row r="35" spans="1:17" ht="27" customHeight="1" x14ac:dyDescent="0.2">
      <c r="A35" s="70" t="s">
        <v>4</v>
      </c>
      <c r="B35" s="71">
        <f t="shared" ref="B35:G35" si="12">SUM(B23:B34)</f>
        <v>27707</v>
      </c>
      <c r="C35" s="71">
        <f t="shared" si="12"/>
        <v>127648.43759666667</v>
      </c>
      <c r="D35" s="71">
        <f t="shared" si="12"/>
        <v>100415.21258064517</v>
      </c>
      <c r="E35" s="71">
        <f t="shared" si="12"/>
        <v>3113659</v>
      </c>
      <c r="F35" s="71">
        <f t="shared" si="12"/>
        <v>12696178.828000002</v>
      </c>
      <c r="G35" s="71">
        <f t="shared" si="12"/>
        <v>18930795.91</v>
      </c>
      <c r="H35" s="72">
        <f>IFERROR((F35/G35)*100,"-")</f>
        <v>67.066270685921737</v>
      </c>
      <c r="I35" s="73">
        <f t="shared" ref="I35:P35" si="13">SUM(I23:I34)</f>
        <v>76901.298830000014</v>
      </c>
      <c r="J35" s="73">
        <f t="shared" si="13"/>
        <v>915.38550999999984</v>
      </c>
      <c r="K35" s="73">
        <f t="shared" si="13"/>
        <v>77816.684339999993</v>
      </c>
      <c r="L35" s="73">
        <f t="shared" si="13"/>
        <v>1103477.4735219998</v>
      </c>
      <c r="M35" s="73">
        <f t="shared" si="13"/>
        <v>284795.41173897992</v>
      </c>
      <c r="N35" s="73">
        <f t="shared" si="13"/>
        <v>2158.0694625061442</v>
      </c>
      <c r="O35" s="73">
        <f t="shared" si="13"/>
        <v>1390430.954723486</v>
      </c>
      <c r="P35" s="73">
        <f t="shared" si="13"/>
        <v>2588384.5422650008</v>
      </c>
      <c r="Q35" s="72">
        <f>IFERROR((O35/P35)*100,"-")</f>
        <v>53.718098374469911</v>
      </c>
    </row>
    <row r="36" spans="1:17" ht="27" customHeight="1" x14ac:dyDescent="0.2">
      <c r="A36" s="74" t="s">
        <v>15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</row>
    <row r="37" spans="1:17" ht="27" customHeight="1" x14ac:dyDescent="0.2">
      <c r="A37" s="76" t="s">
        <v>12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</row>
    <row r="38" spans="1:17" ht="27" customHeight="1" x14ac:dyDescent="0.2">
      <c r="A38" s="76" t="s">
        <v>11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</row>
    <row r="47" spans="1:17" x14ac:dyDescent="0.2">
      <c r="H47" s="2"/>
      <c r="Q47" s="2"/>
    </row>
    <row r="49" spans="8:17" x14ac:dyDescent="0.2">
      <c r="H49" s="2"/>
      <c r="Q49" s="2"/>
    </row>
    <row r="50" spans="8:17" x14ac:dyDescent="0.2">
      <c r="H50" s="2"/>
      <c r="Q50" s="2"/>
    </row>
    <row r="52" spans="8:17" x14ac:dyDescent="0.2">
      <c r="H52" s="2"/>
      <c r="Q52" s="2"/>
    </row>
    <row r="54" spans="8:17" x14ac:dyDescent="0.2">
      <c r="H54" s="2"/>
      <c r="Q54" s="2"/>
    </row>
    <row r="56" spans="8:17" x14ac:dyDescent="0.2">
      <c r="H56" s="2"/>
      <c r="Q56" s="2"/>
    </row>
    <row r="58" spans="8:17" x14ac:dyDescent="0.2">
      <c r="H58" s="2"/>
      <c r="Q58" s="2"/>
    </row>
    <row r="60" spans="8:17" x14ac:dyDescent="0.2">
      <c r="H60" s="2"/>
      <c r="Q60" s="2"/>
    </row>
    <row r="62" spans="8:17" x14ac:dyDescent="0.2">
      <c r="H62" s="2"/>
      <c r="Q62" s="2"/>
    </row>
    <row r="64" spans="8:17" x14ac:dyDescent="0.2">
      <c r="H64" s="2"/>
      <c r="Q64" s="2"/>
    </row>
    <row r="66" spans="8:17" x14ac:dyDescent="0.2">
      <c r="H66" s="2"/>
      <c r="Q66" s="2"/>
    </row>
    <row r="67" spans="8:17" x14ac:dyDescent="0.2">
      <c r="H67" s="2"/>
    </row>
    <row r="68" spans="8:17" x14ac:dyDescent="0.2">
      <c r="H68" s="2"/>
      <c r="Q68" s="2"/>
    </row>
    <row r="69" spans="8:17" x14ac:dyDescent="0.2">
      <c r="H69" s="2"/>
    </row>
    <row r="70" spans="8:17" x14ac:dyDescent="0.2">
      <c r="H70" s="2"/>
      <c r="Q70" s="2"/>
    </row>
    <row r="71" spans="8:17" x14ac:dyDescent="0.2">
      <c r="H71" s="2"/>
    </row>
    <row r="72" spans="8:17" x14ac:dyDescent="0.2">
      <c r="H72" s="2"/>
      <c r="Q72" s="2"/>
    </row>
    <row r="93" spans="8:17" x14ac:dyDescent="0.2">
      <c r="H93" s="2"/>
      <c r="Q93" s="2"/>
    </row>
    <row r="96" spans="8:17" x14ac:dyDescent="0.2">
      <c r="H96" s="2"/>
      <c r="Q96" s="2"/>
    </row>
    <row r="98" spans="8:17" x14ac:dyDescent="0.2">
      <c r="H98" s="2"/>
      <c r="Q98" s="2"/>
    </row>
    <row r="100" spans="8:17" x14ac:dyDescent="0.2">
      <c r="H100" s="2"/>
      <c r="Q100" s="2"/>
    </row>
    <row r="102" spans="8:17" x14ac:dyDescent="0.2">
      <c r="H102" s="2"/>
      <c r="Q102" s="2"/>
    </row>
    <row r="104" spans="8:17" x14ac:dyDescent="0.2">
      <c r="H104" s="2"/>
      <c r="Q104" s="2"/>
    </row>
    <row r="106" spans="8:17" x14ac:dyDescent="0.2">
      <c r="H106" s="2"/>
      <c r="Q106" s="2"/>
    </row>
    <row r="108" spans="8:17" x14ac:dyDescent="0.2">
      <c r="H108" s="2"/>
      <c r="Q108" s="2"/>
    </row>
    <row r="110" spans="8:17" x14ac:dyDescent="0.2">
      <c r="H110" s="2"/>
      <c r="Q110" s="2"/>
    </row>
    <row r="112" spans="8:17" x14ac:dyDescent="0.2">
      <c r="H112" s="2"/>
      <c r="Q112" s="2"/>
    </row>
    <row r="113" spans="8:17" x14ac:dyDescent="0.2">
      <c r="H113" s="2"/>
      <c r="Q113" s="2"/>
    </row>
    <row r="114" spans="8:17" x14ac:dyDescent="0.2">
      <c r="H114" s="2"/>
      <c r="Q114" s="2"/>
    </row>
    <row r="115" spans="8:17" x14ac:dyDescent="0.2">
      <c r="H115" s="2"/>
      <c r="Q115" s="2"/>
    </row>
    <row r="116" spans="8:17" x14ac:dyDescent="0.2">
      <c r="H116" s="2"/>
      <c r="Q116" s="2"/>
    </row>
    <row r="117" spans="8:17" x14ac:dyDescent="0.2">
      <c r="H117" s="2"/>
      <c r="Q117" s="2"/>
    </row>
    <row r="118" spans="8:17" x14ac:dyDescent="0.2">
      <c r="H118" s="2"/>
      <c r="Q118" s="2"/>
    </row>
    <row r="138" spans="8:17" x14ac:dyDescent="0.2">
      <c r="H138" s="2"/>
      <c r="Q138" s="2"/>
    </row>
    <row r="141" spans="8:17" x14ac:dyDescent="0.2">
      <c r="H141" s="2"/>
      <c r="Q141" s="2"/>
    </row>
    <row r="143" spans="8:17" x14ac:dyDescent="0.2">
      <c r="H143" s="2"/>
      <c r="Q143" s="2"/>
    </row>
    <row r="145" spans="8:17" x14ac:dyDescent="0.2">
      <c r="H145" s="2"/>
      <c r="Q145" s="2"/>
    </row>
    <row r="147" spans="8:17" x14ac:dyDescent="0.2">
      <c r="H147" s="2"/>
      <c r="Q147" s="2"/>
    </row>
    <row r="149" spans="8:17" x14ac:dyDescent="0.2">
      <c r="H149" s="2"/>
      <c r="Q149" s="2"/>
    </row>
    <row r="151" spans="8:17" x14ac:dyDescent="0.2">
      <c r="H151" s="2"/>
      <c r="Q151" s="2"/>
    </row>
    <row r="153" spans="8:17" x14ac:dyDescent="0.2">
      <c r="H153" s="2"/>
      <c r="Q153" s="2"/>
    </row>
    <row r="155" spans="8:17" x14ac:dyDescent="0.2">
      <c r="H155" s="2"/>
      <c r="Q155" s="2"/>
    </row>
    <row r="157" spans="8:17" x14ac:dyDescent="0.2">
      <c r="H157" s="2"/>
      <c r="Q157" s="2"/>
    </row>
    <row r="158" spans="8:17" x14ac:dyDescent="0.2">
      <c r="Q158" s="2"/>
    </row>
    <row r="159" spans="8:17" x14ac:dyDescent="0.2">
      <c r="H159" s="2"/>
      <c r="Q159" s="2"/>
    </row>
    <row r="160" spans="8:17" x14ac:dyDescent="0.2">
      <c r="H160" s="2"/>
      <c r="Q160" s="2"/>
    </row>
    <row r="161" spans="8:17" x14ac:dyDescent="0.2">
      <c r="H161" s="2"/>
      <c r="Q161" s="2"/>
    </row>
    <row r="162" spans="8:17" x14ac:dyDescent="0.2">
      <c r="H162" s="2"/>
      <c r="Q162" s="2"/>
    </row>
    <row r="163" spans="8:17" x14ac:dyDescent="0.2">
      <c r="H163" s="2"/>
      <c r="Q163" s="2"/>
    </row>
    <row r="186" spans="8:17" x14ac:dyDescent="0.2">
      <c r="H186" s="2"/>
      <c r="Q186" s="2"/>
    </row>
    <row r="189" spans="8:17" x14ac:dyDescent="0.2">
      <c r="H189" s="2"/>
      <c r="Q189" s="2"/>
    </row>
    <row r="191" spans="8:17" x14ac:dyDescent="0.2">
      <c r="H191" s="2"/>
      <c r="Q191" s="2"/>
    </row>
    <row r="193" spans="8:17" x14ac:dyDescent="0.2">
      <c r="H193" s="2"/>
      <c r="Q193" s="2"/>
    </row>
    <row r="195" spans="8:17" x14ac:dyDescent="0.2">
      <c r="H195" s="2"/>
      <c r="Q195" s="2"/>
    </row>
    <row r="197" spans="8:17" x14ac:dyDescent="0.2">
      <c r="H197" s="2"/>
      <c r="Q197" s="2"/>
    </row>
    <row r="199" spans="8:17" x14ac:dyDescent="0.2">
      <c r="H199" s="2"/>
      <c r="Q199" s="2"/>
    </row>
    <row r="201" spans="8:17" x14ac:dyDescent="0.2">
      <c r="H201" s="2"/>
      <c r="Q201" s="2"/>
    </row>
    <row r="203" spans="8:17" x14ac:dyDescent="0.2">
      <c r="H203" s="2"/>
      <c r="Q203" s="2"/>
    </row>
    <row r="205" spans="8:17" x14ac:dyDescent="0.2">
      <c r="H205" s="2"/>
      <c r="Q205" s="2"/>
    </row>
    <row r="207" spans="8:17" x14ac:dyDescent="0.2">
      <c r="H207" s="2"/>
      <c r="Q207" s="2"/>
    </row>
    <row r="209" spans="8:17" x14ac:dyDescent="0.2">
      <c r="H209" s="2"/>
      <c r="Q209" s="2"/>
    </row>
    <row r="211" spans="8:17" x14ac:dyDescent="0.2">
      <c r="H211" s="2"/>
      <c r="Q211" s="2"/>
    </row>
    <row r="234" spans="8:17" x14ac:dyDescent="0.2">
      <c r="H234" s="2"/>
      <c r="Q234" s="2"/>
    </row>
    <row r="236" spans="8:17" x14ac:dyDescent="0.2">
      <c r="H236" s="2"/>
      <c r="Q236" s="2"/>
    </row>
    <row r="237" spans="8:17" x14ac:dyDescent="0.2">
      <c r="H237" s="2"/>
      <c r="Q237" s="2"/>
    </row>
    <row r="238" spans="8:17" x14ac:dyDescent="0.2">
      <c r="H238" s="2"/>
      <c r="Q238" s="2"/>
    </row>
    <row r="239" spans="8:17" x14ac:dyDescent="0.2">
      <c r="H239" s="2"/>
      <c r="Q239" s="2"/>
    </row>
    <row r="240" spans="8:17" x14ac:dyDescent="0.2">
      <c r="H240" s="2"/>
      <c r="Q240" s="2"/>
    </row>
    <row r="241" spans="8:17" x14ac:dyDescent="0.2">
      <c r="H241" s="2"/>
      <c r="Q241" s="2"/>
    </row>
    <row r="242" spans="8:17" x14ac:dyDescent="0.2">
      <c r="H242" s="2"/>
      <c r="Q242" s="2"/>
    </row>
    <row r="243" spans="8:17" x14ac:dyDescent="0.2">
      <c r="H243" s="2"/>
      <c r="Q243" s="2"/>
    </row>
    <row r="244" spans="8:17" x14ac:dyDescent="0.2">
      <c r="H244" s="2"/>
      <c r="Q244" s="2"/>
    </row>
    <row r="245" spans="8:17" x14ac:dyDescent="0.2">
      <c r="H245" s="2"/>
      <c r="Q245" s="2"/>
    </row>
    <row r="246" spans="8:17" x14ac:dyDescent="0.2">
      <c r="H246" s="2"/>
      <c r="Q246" s="2"/>
    </row>
    <row r="247" spans="8:17" x14ac:dyDescent="0.2">
      <c r="H247" s="2"/>
      <c r="Q247" s="2"/>
    </row>
    <row r="248" spans="8:17" x14ac:dyDescent="0.2">
      <c r="H248" s="2"/>
      <c r="Q248" s="2"/>
    </row>
    <row r="249" spans="8:17" x14ac:dyDescent="0.2">
      <c r="H249" s="2"/>
      <c r="Q249" s="2"/>
    </row>
    <row r="250" spans="8:17" x14ac:dyDescent="0.2">
      <c r="H250" s="2"/>
      <c r="Q250" s="2"/>
    </row>
    <row r="251" spans="8:17" x14ac:dyDescent="0.2">
      <c r="H251" s="2"/>
      <c r="Q251" s="2"/>
    </row>
    <row r="252" spans="8:17" x14ac:dyDescent="0.2">
      <c r="H252" s="2"/>
      <c r="Q252" s="2"/>
    </row>
    <row r="253" spans="8:17" x14ac:dyDescent="0.2">
      <c r="H253" s="2"/>
      <c r="Q253" s="2"/>
    </row>
    <row r="254" spans="8:17" x14ac:dyDescent="0.2">
      <c r="H254" s="2"/>
      <c r="Q254" s="2"/>
    </row>
    <row r="255" spans="8:17" x14ac:dyDescent="0.2">
      <c r="H255" s="2"/>
      <c r="Q255" s="2"/>
    </row>
    <row r="256" spans="8:17" x14ac:dyDescent="0.2">
      <c r="H256" s="2"/>
      <c r="Q256" s="2"/>
    </row>
    <row r="257" spans="8:17" x14ac:dyDescent="0.2">
      <c r="H257" s="2"/>
      <c r="Q257" s="2"/>
    </row>
    <row r="258" spans="8:17" x14ac:dyDescent="0.2">
      <c r="H258" s="2"/>
      <c r="Q258" s="2"/>
    </row>
    <row r="259" spans="8:17" x14ac:dyDescent="0.2">
      <c r="H259" s="2"/>
      <c r="Q259" s="2"/>
    </row>
    <row r="278" spans="8:18" x14ac:dyDescent="0.2">
      <c r="R278" s="1" t="s">
        <v>0</v>
      </c>
    </row>
    <row r="282" spans="8:18" x14ac:dyDescent="0.2">
      <c r="H282" s="2"/>
      <c r="Q282" s="2"/>
    </row>
    <row r="285" spans="8:18" x14ac:dyDescent="0.2">
      <c r="H285" s="2"/>
      <c r="Q285" s="2"/>
      <c r="R285" s="3"/>
    </row>
    <row r="287" spans="8:18" x14ac:dyDescent="0.2">
      <c r="H287" s="2"/>
      <c r="Q287" s="2"/>
    </row>
    <row r="288" spans="8:18" x14ac:dyDescent="0.2">
      <c r="H288" s="2"/>
    </row>
    <row r="289" spans="8:18" x14ac:dyDescent="0.2">
      <c r="H289" s="2"/>
      <c r="Q289" s="2"/>
    </row>
    <row r="291" spans="8:18" x14ac:dyDescent="0.2">
      <c r="H291" s="2"/>
      <c r="Q291" s="2"/>
    </row>
    <row r="293" spans="8:18" x14ac:dyDescent="0.2">
      <c r="H293" s="2"/>
      <c r="Q293" s="2"/>
    </row>
    <row r="295" spans="8:18" x14ac:dyDescent="0.2">
      <c r="H295" s="2"/>
      <c r="Q295" s="2"/>
    </row>
    <row r="297" spans="8:18" x14ac:dyDescent="0.2">
      <c r="H297" s="2"/>
      <c r="Q297" s="2"/>
    </row>
    <row r="299" spans="8:18" x14ac:dyDescent="0.2">
      <c r="H299" s="2"/>
      <c r="Q299" s="2"/>
    </row>
    <row r="300" spans="8:18" x14ac:dyDescent="0.2">
      <c r="R300" s="1" t="s">
        <v>0</v>
      </c>
    </row>
    <row r="301" spans="8:18" x14ac:dyDescent="0.2">
      <c r="H301" s="2"/>
      <c r="Q301" s="2"/>
    </row>
    <row r="302" spans="8:18" x14ac:dyDescent="0.2">
      <c r="H302" s="2"/>
      <c r="Q302" s="2"/>
    </row>
    <row r="303" spans="8:18" x14ac:dyDescent="0.2">
      <c r="H303" s="2"/>
      <c r="Q303" s="2"/>
    </row>
    <row r="304" spans="8:18" x14ac:dyDescent="0.2">
      <c r="H304" s="2"/>
      <c r="Q304" s="2"/>
    </row>
    <row r="305" spans="8:19" x14ac:dyDescent="0.2">
      <c r="H305" s="2"/>
      <c r="Q305" s="2"/>
    </row>
    <row r="306" spans="8:19" x14ac:dyDescent="0.2">
      <c r="H306" s="2"/>
      <c r="Q306" s="2"/>
    </row>
    <row r="307" spans="8:19" x14ac:dyDescent="0.2">
      <c r="H307" s="2"/>
      <c r="Q307" s="2"/>
      <c r="R307" s="3"/>
    </row>
    <row r="309" spans="8:19" x14ac:dyDescent="0.2">
      <c r="H309" s="2"/>
    </row>
    <row r="320" spans="8:19" x14ac:dyDescent="0.2">
      <c r="S320" s="3"/>
    </row>
    <row r="327" spans="8:19" x14ac:dyDescent="0.2">
      <c r="S327" s="3"/>
    </row>
    <row r="328" spans="8:19" x14ac:dyDescent="0.2">
      <c r="H328" s="2"/>
      <c r="Q328" s="2"/>
    </row>
    <row r="330" spans="8:19" x14ac:dyDescent="0.2">
      <c r="S330" s="3"/>
    </row>
    <row r="331" spans="8:19" x14ac:dyDescent="0.2">
      <c r="H331" s="2"/>
      <c r="Q331" s="2"/>
    </row>
    <row r="332" spans="8:19" x14ac:dyDescent="0.2">
      <c r="S332" s="3"/>
    </row>
    <row r="333" spans="8:19" x14ac:dyDescent="0.2">
      <c r="H333" s="2"/>
      <c r="Q333" s="2"/>
    </row>
    <row r="335" spans="8:19" x14ac:dyDescent="0.2">
      <c r="H335" s="2"/>
      <c r="Q335" s="2"/>
    </row>
    <row r="337" spans="8:17" x14ac:dyDescent="0.2">
      <c r="H337" s="2"/>
      <c r="Q337" s="2"/>
    </row>
    <row r="339" spans="8:17" x14ac:dyDescent="0.2">
      <c r="H339" s="2"/>
      <c r="Q339" s="2"/>
    </row>
    <row r="341" spans="8:17" x14ac:dyDescent="0.2">
      <c r="H341" s="2"/>
      <c r="Q341" s="2"/>
    </row>
    <row r="343" spans="8:17" x14ac:dyDescent="0.2">
      <c r="H343" s="2"/>
      <c r="Q343" s="2"/>
    </row>
    <row r="345" spans="8:17" x14ac:dyDescent="0.2">
      <c r="H345" s="2"/>
      <c r="Q345" s="2"/>
    </row>
    <row r="347" spans="8:17" x14ac:dyDescent="0.2">
      <c r="H347" s="2"/>
      <c r="Q347" s="2"/>
    </row>
    <row r="349" spans="8:17" x14ac:dyDescent="0.2">
      <c r="H349" s="2"/>
      <c r="Q349" s="2"/>
    </row>
    <row r="351" spans="8:17" x14ac:dyDescent="0.2">
      <c r="H351" s="2"/>
      <c r="Q351" s="2"/>
    </row>
    <row r="353" spans="8:17" x14ac:dyDescent="0.2">
      <c r="H353" s="2"/>
      <c r="Q353" s="2"/>
    </row>
    <row r="379" spans="8:17" x14ac:dyDescent="0.2">
      <c r="Q379" s="2"/>
    </row>
    <row r="381" spans="8:17" x14ac:dyDescent="0.2">
      <c r="H381" s="2"/>
      <c r="Q381" s="2"/>
    </row>
    <row r="383" spans="8:17" x14ac:dyDescent="0.2">
      <c r="H383" s="2"/>
    </row>
    <row r="385" spans="8:17" x14ac:dyDescent="0.2">
      <c r="H385" s="2"/>
      <c r="Q385" s="2"/>
    </row>
    <row r="413" spans="8:17" x14ac:dyDescent="0.2">
      <c r="H413" s="2"/>
    </row>
    <row r="415" spans="8:17" x14ac:dyDescent="0.2">
      <c r="Q415" s="2"/>
    </row>
    <row r="416" spans="8:17" x14ac:dyDescent="0.2">
      <c r="Q416" s="2"/>
    </row>
    <row r="417" spans="8:17" x14ac:dyDescent="0.2">
      <c r="Q417" s="2"/>
    </row>
    <row r="418" spans="8:17" x14ac:dyDescent="0.2">
      <c r="Q418" s="2"/>
    </row>
    <row r="419" spans="8:17" x14ac:dyDescent="0.2">
      <c r="H419" s="2"/>
      <c r="Q419" s="2"/>
    </row>
    <row r="421" spans="8:17" x14ac:dyDescent="0.2">
      <c r="H421" s="2"/>
      <c r="Q421" s="2"/>
    </row>
    <row r="424" spans="8:17" x14ac:dyDescent="0.2">
      <c r="Q424" s="2"/>
    </row>
    <row r="448" spans="17:17" x14ac:dyDescent="0.2">
      <c r="Q448" s="2"/>
    </row>
    <row r="449" spans="8:17" x14ac:dyDescent="0.2">
      <c r="H449" s="2"/>
      <c r="Q449" s="2"/>
    </row>
    <row r="450" spans="8:17" x14ac:dyDescent="0.2">
      <c r="H450" s="2"/>
      <c r="Q450" s="2"/>
    </row>
    <row r="451" spans="8:17" x14ac:dyDescent="0.2">
      <c r="H451" s="2"/>
      <c r="Q451" s="2"/>
    </row>
    <row r="452" spans="8:17" x14ac:dyDescent="0.2">
      <c r="H452" s="2"/>
      <c r="Q452" s="2"/>
    </row>
    <row r="453" spans="8:17" x14ac:dyDescent="0.2">
      <c r="H453" s="2"/>
      <c r="Q453" s="2"/>
    </row>
    <row r="454" spans="8:17" x14ac:dyDescent="0.2">
      <c r="H454" s="2"/>
      <c r="Q454" s="2"/>
    </row>
    <row r="456" spans="8:17" x14ac:dyDescent="0.2">
      <c r="H456" s="2"/>
      <c r="Q456" s="2"/>
    </row>
    <row r="503" spans="13:13" x14ac:dyDescent="0.2">
      <c r="M503" s="1" t="s">
        <v>1</v>
      </c>
    </row>
    <row r="510" spans="13:13" x14ac:dyDescent="0.2">
      <c r="M510" s="3"/>
    </row>
  </sheetData>
  <mergeCells count="30">
    <mergeCell ref="R1:AH1"/>
    <mergeCell ref="R20:AH20"/>
    <mergeCell ref="P2:P3"/>
    <mergeCell ref="Q2:Q3"/>
    <mergeCell ref="A19:Q19"/>
    <mergeCell ref="A18:Q18"/>
    <mergeCell ref="A2:A3"/>
    <mergeCell ref="F2:F3"/>
    <mergeCell ref="G2:G3"/>
    <mergeCell ref="B2:D2"/>
    <mergeCell ref="A1:Q1"/>
    <mergeCell ref="H2:H3"/>
    <mergeCell ref="A17:Q17"/>
    <mergeCell ref="E2:E3"/>
    <mergeCell ref="I2:K2"/>
    <mergeCell ref="L2:O2"/>
    <mergeCell ref="A36:Q36"/>
    <mergeCell ref="A37:Q37"/>
    <mergeCell ref="A38:Q38"/>
    <mergeCell ref="A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</mergeCells>
  <printOptions gridLines="1"/>
  <pageMargins left="0.74803149606299202" right="0.74803149606299202" top="0.53740157499999996" bottom="0.5" header="0.511811023622047" footer="0.511811023622047"/>
  <pageSetup scale="64" firstPageNumber="76" fitToHeight="0" orientation="landscape" useFirstPageNumber="1" r:id="rId1"/>
  <headerFooter alignWithMargins="0">
    <oddFooter>&amp;L&amp;F</oddFooter>
  </headerFooter>
  <rowBreaks count="1" manualBreakCount="1">
    <brk id="19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totalint19</vt:lpstr>
      <vt:lpstr>totalint19!\b</vt:lpstr>
      <vt:lpstr>totalint19!\p</vt:lpstr>
      <vt:lpstr>totalint19!\x</vt:lpstr>
      <vt:lpstr>totalint19!Print_Area</vt:lpstr>
      <vt:lpstr>totalint19!Print_Area_MI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Mr.Purshotam</dc:creator>
  <cp:lastModifiedBy>Windows User</cp:lastModifiedBy>
  <cp:lastPrinted>2020-08-07T09:14:58Z</cp:lastPrinted>
  <dcterms:created xsi:type="dcterms:W3CDTF">2001-10-25T19:20:34Z</dcterms:created>
  <dcterms:modified xsi:type="dcterms:W3CDTF">2022-03-31T10:57:52Z</dcterms:modified>
</cp:coreProperties>
</file>