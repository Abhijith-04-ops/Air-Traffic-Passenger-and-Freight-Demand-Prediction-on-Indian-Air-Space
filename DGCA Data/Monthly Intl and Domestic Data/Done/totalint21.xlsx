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Pdf and excel Dec 2021\Excel Dec 2021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Monthly_Template!$A$1:$Q$39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2" l="1"/>
  <c r="K15" i="2"/>
  <c r="O15" i="2"/>
  <c r="Q15" i="2" s="1"/>
  <c r="B16" i="2"/>
  <c r="C16" i="2"/>
  <c r="D16" i="2"/>
  <c r="E16" i="2"/>
  <c r="F16" i="2"/>
  <c r="G16" i="2"/>
  <c r="I16" i="2"/>
  <c r="J16" i="2"/>
  <c r="L16" i="2"/>
  <c r="M16" i="2"/>
  <c r="N16" i="2"/>
  <c r="P16" i="2"/>
  <c r="H23" i="2"/>
  <c r="K23" i="2"/>
  <c r="O23" i="2"/>
  <c r="Q23" i="2" s="1"/>
  <c r="H24" i="2"/>
  <c r="K24" i="2"/>
  <c r="O24" i="2"/>
  <c r="Q24" i="2" s="1"/>
  <c r="H25" i="2"/>
  <c r="K25" i="2"/>
  <c r="O25" i="2"/>
  <c r="Q25" i="2" s="1"/>
  <c r="H26" i="2"/>
  <c r="K26" i="2"/>
  <c r="O26" i="2"/>
  <c r="Q26" i="2" s="1"/>
  <c r="H27" i="2"/>
  <c r="K27" i="2"/>
  <c r="O27" i="2"/>
  <c r="Q27" i="2" s="1"/>
  <c r="H28" i="2"/>
  <c r="K28" i="2"/>
  <c r="O28" i="2"/>
  <c r="Q28" i="2" s="1"/>
  <c r="H29" i="2"/>
  <c r="K29" i="2"/>
  <c r="O29" i="2"/>
  <c r="Q29" i="2" s="1"/>
  <c r="H30" i="2"/>
  <c r="K30" i="2"/>
  <c r="O30" i="2"/>
  <c r="Q30" i="2" s="1"/>
  <c r="H31" i="2"/>
  <c r="K31" i="2"/>
  <c r="O31" i="2"/>
  <c r="Q31" i="2" s="1"/>
  <c r="H32" i="2"/>
  <c r="K32" i="2"/>
  <c r="O32" i="2"/>
  <c r="Q32" i="2" s="1"/>
  <c r="H33" i="2"/>
  <c r="K33" i="2"/>
  <c r="O33" i="2"/>
  <c r="Q33" i="2" s="1"/>
  <c r="H34" i="2"/>
  <c r="K34" i="2"/>
  <c r="O34" i="2"/>
  <c r="Q34" i="2" s="1"/>
  <c r="B35" i="2"/>
  <c r="C35" i="2"/>
  <c r="D35" i="2"/>
  <c r="E35" i="2"/>
  <c r="F35" i="2"/>
  <c r="G35" i="2"/>
  <c r="I35" i="2"/>
  <c r="J35" i="2"/>
  <c r="L35" i="2"/>
  <c r="M35" i="2"/>
  <c r="N35" i="2"/>
  <c r="P35" i="2"/>
  <c r="O35" i="2" l="1"/>
  <c r="Q35" i="2" s="1"/>
  <c r="O16" i="2"/>
  <c r="Q16" i="2" s="1"/>
  <c r="H16" i="2"/>
  <c r="H35" i="2"/>
  <c r="K16" i="2"/>
  <c r="K35" i="2"/>
</calcChain>
</file>

<file path=xl/sharedStrings.xml><?xml version="1.0" encoding="utf-8"?>
<sst xmlns="http://schemas.openxmlformats.org/spreadsheetml/2006/main" count="76" uniqueCount="41">
  <si>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</si>
  <si>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</si>
  <si>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</si>
  <si>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</si>
  <si>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</si>
  <si>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</si>
  <si>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</si>
  <si>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</si>
  <si>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</si>
  <si>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</si>
  <si>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</si>
  <si>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</si>
  <si>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</si>
  <si>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</si>
  <si>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</si>
  <si>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</si>
  <si>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</si>
  <si>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</si>
  <si>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</si>
  <si>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</si>
  <si>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</si>
  <si>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</si>
  <si>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</si>
  <si>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</si>
  <si>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</si>
  <si>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</si>
  <si>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</si>
  <si>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</si>
  <si>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</si>
  <si>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</si>
  <si>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</si>
  <si>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</si>
  <si>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</si>
  <si>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</si>
  <si>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</si>
  <si>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</si>
  <si>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SOURCE:-ICAO ATR FORM A FURNISHED BY </t>
  </si>
  <si>
    <r>
      <rPr>
        <b/>
        <sz val="12"/>
        <color theme="1"/>
        <rFont val="Cambria"/>
        <family val="1"/>
      </rPr>
      <t xml:space="preserve">Monthly Traffic And Operating Statistics of Indian Carriers During 2021 (Provisional)
 </t>
    </r>
    <r>
      <rPr>
        <b/>
        <sz val="16"/>
        <color theme="1"/>
        <rFont val="Cambria"/>
        <family val="1"/>
      </rPr>
      <t>( Scheduled International  Services)</t>
    </r>
  </si>
  <si>
    <r>
      <t xml:space="preserve">Monthly Traffic And Operating Statistics of Indian Carriers During 2021 (Provisional)
</t>
    </r>
    <r>
      <rPr>
        <b/>
        <sz val="16"/>
        <color theme="1"/>
        <rFont val="Cambria"/>
        <family val="1"/>
      </rPr>
      <t xml:space="preserve"> (Non- Scheduled International Services)</t>
    </r>
  </si>
  <si>
    <t xml:space="preserve">SOURCE:-ICAO ATR FORM A FURNISHED BY   </t>
  </si>
  <si>
    <t xml:space="preserve">Note:  In wake of Covid-19 all International scheduled operations carried by Indian carriers have been suspended as per DGCA's Circular dated 26-03-2020.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</si>
</sst>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0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4" fillId="2" borderId="0" xfId="1" applyFont="1" applyFill="1"/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8" fillId="4" borderId="3" xfId="1" applyFont="1" applyFill="1" applyBorder="1" applyAlignment="1" applyProtection="1">
      <alignment horizontal="center" vertical="center" textRotation="90" wrapText="1"/>
    </xf>
    <xf numFmtId="0" fontId="8" fillId="4" borderId="3" xfId="1" quotePrefix="1" applyFont="1" applyFill="1" applyBorder="1" applyAlignment="1" applyProtection="1">
      <alignment horizontal="center" vertical="center" textRotation="90" wrapText="1"/>
    </xf>
    <xf numFmtId="0" fontId="8" fillId="4" borderId="2" xfId="1" applyFont="1" applyFill="1" applyBorder="1" applyAlignment="1" applyProtection="1">
      <alignment horizontal="center" vertical="center" textRotation="90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7" xfId="1" applyNumberFormat="1" applyFont="1" applyFill="1" applyBorder="1" applyAlignment="1" applyProtection="1">
      <alignment horizontal="center" vertical="center" wrapText="1"/>
    </xf>
    <xf numFmtId="3" fontId="7" fillId="3" borderId="5" xfId="1" applyNumberFormat="1" applyFont="1" applyFill="1" applyBorder="1" applyAlignment="1" applyProtection="1">
      <alignment horizontal="center" vertical="center" wrapText="1"/>
    </xf>
    <xf numFmtId="3" fontId="7" fillId="3" borderId="6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5" xfId="1" applyNumberFormat="1" applyFont="1" applyFill="1" applyBorder="1" applyAlignment="1" applyProtection="1">
      <alignment horizontal="center" vertical="center" wrapText="1"/>
    </xf>
    <xf numFmtId="164" fontId="7" fillId="3" borderId="7" xfId="1" applyNumberFormat="1" applyFont="1" applyFill="1" applyBorder="1" applyAlignment="1" applyProtection="1">
      <alignment horizontal="center" vertical="center" wrapText="1"/>
    </xf>
    <xf numFmtId="164" fontId="7" fillId="3" borderId="6" xfId="1" applyNumberFormat="1" applyFont="1" applyFill="1" applyBorder="1" applyAlignment="1" applyProtection="1">
      <alignment horizontal="center" vertical="center" wrapText="1"/>
    </xf>
    <xf numFmtId="3" fontId="7" fillId="5" borderId="0" xfId="1" applyNumberFormat="1" applyFont="1" applyFill="1" applyBorder="1" applyAlignment="1" applyProtection="1">
      <alignment horizontal="center" vertical="center" wrapText="1"/>
    </xf>
    <xf numFmtId="3" fontId="7" fillId="5" borderId="9" xfId="1" applyNumberFormat="1" applyFont="1" applyFill="1" applyBorder="1" applyAlignment="1" applyProtection="1">
      <alignment horizontal="center" vertical="center" wrapText="1"/>
    </xf>
    <xf numFmtId="3" fontId="7" fillId="5" borderId="8" xfId="1" applyNumberFormat="1" applyFont="1" applyFill="1" applyBorder="1" applyAlignment="1" applyProtection="1">
      <alignment horizontal="center" vertical="center" wrapText="1"/>
    </xf>
    <xf numFmtId="164" fontId="7" fillId="5" borderId="8" xfId="1" applyNumberFormat="1" applyFont="1" applyFill="1" applyBorder="1" applyAlignment="1" applyProtection="1">
      <alignment horizontal="center" vertical="center" wrapText="1"/>
    </xf>
    <xf numFmtId="164" fontId="7" fillId="5" borderId="0" xfId="1" applyNumberFormat="1" applyFont="1" applyFill="1" applyBorder="1" applyAlignment="1" applyProtection="1">
      <alignment horizontal="center" vertical="center" wrapText="1"/>
    </xf>
    <xf numFmtId="164" fontId="7" fillId="5" borderId="9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3" fontId="7" fillId="5" borderId="12" xfId="1" applyNumberFormat="1" applyFont="1" applyFill="1" applyBorder="1" applyAlignment="1" applyProtection="1">
      <alignment horizontal="center" vertical="center" wrapText="1"/>
    </xf>
    <xf numFmtId="3" fontId="7" fillId="5" borderId="1" xfId="1" applyNumberFormat="1" applyFont="1" applyFill="1" applyBorder="1" applyAlignment="1" applyProtection="1">
      <alignment horizontal="center" vertical="center" wrapText="1"/>
    </xf>
    <xf numFmtId="3" fontId="7" fillId="5" borderId="11" xfId="1" applyNumberFormat="1" applyFont="1" applyFill="1" applyBorder="1" applyAlignment="1" applyProtection="1">
      <alignment horizontal="center" vertical="center" wrapText="1"/>
    </xf>
    <xf numFmtId="164" fontId="7" fillId="5" borderId="1" xfId="1" applyNumberFormat="1" applyFont="1" applyFill="1" applyBorder="1" applyAlignment="1" applyProtection="1">
      <alignment horizontal="center" vertical="center" wrapText="1"/>
    </xf>
    <xf numFmtId="164" fontId="7" fillId="5" borderId="12" xfId="1" applyNumberFormat="1" applyFont="1" applyFill="1" applyBorder="1" applyAlignment="1" applyProtection="1">
      <alignment horizontal="center" vertical="center" wrapText="1"/>
    </xf>
    <xf numFmtId="164" fontId="7" fillId="5" borderId="11" xfId="1" applyNumberFormat="1" applyFont="1" applyFill="1" applyBorder="1" applyAlignment="1" applyProtection="1">
      <alignment horizontal="center" vertical="center" wrapText="1"/>
    </xf>
    <xf numFmtId="0" fontId="8" fillId="4" borderId="10" xfId="1" applyFont="1" applyFill="1" applyBorder="1" applyAlignment="1" applyProtection="1">
      <alignment horizontal="center" vertical="center" wrapText="1"/>
    </xf>
    <xf numFmtId="3" fontId="3" fillId="4" borderId="4" xfId="1" applyNumberFormat="1" applyFont="1" applyFill="1" applyBorder="1" applyAlignment="1" applyProtection="1">
      <alignment horizontal="center" vertical="center" wrapText="1"/>
    </xf>
    <xf numFmtId="164" fontId="3" fillId="4" borderId="3" xfId="1" applyNumberFormat="1" applyFont="1" applyFill="1" applyBorder="1" applyAlignment="1" applyProtection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 wrapText="1"/>
    </xf>
    <xf numFmtId="164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  <xf numFmtId="3" fontId="3" fillId="2" borderId="0" xfId="1" applyNumberFormat="1" applyFont="1" applyFill="1" applyBorder="1" applyAlignment="1" applyProtection="1">
      <alignment horizontal="center" vertical="center" wrapText="1"/>
    </xf>
    <xf numFmtId="164" fontId="3" fillId="2" borderId="9" xfId="1" applyNumberFormat="1" applyFont="1" applyFill="1" applyBorder="1" applyAlignment="1" applyProtection="1">
      <alignment horizontal="center" vertical="center" wrapText="1"/>
    </xf>
    <xf numFmtId="164" fontId="3" fillId="2" borderId="0" xfId="1" applyNumberFormat="1" applyFont="1" applyFill="1" applyBorder="1" applyAlignment="1" applyProtection="1">
      <alignment horizontal="center" vertical="center" wrapText="1"/>
    </xf>
    <xf numFmtId="3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12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2" xfId="1" applyNumberFormat="1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2" xfId="1" quotePrefix="1" applyFont="1" applyFill="1" applyBorder="1" applyAlignment="1" applyProtection="1">
      <alignment horizontal="center" vertical="center" textRotation="90" wrapText="1"/>
    </xf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quotePrefix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2" borderId="8" xfId="1" quotePrefix="1" applyNumberFormat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quotePrefix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0" fontId="8" fillId="7" borderId="10" xfId="1" applyFont="1" applyFill="1" applyBorder="1" applyAlignment="1" applyProtection="1">
      <alignment horizontal="center" vertical="center" wrapText="1"/>
    </xf>
    <xf numFmtId="3" fontId="3" fillId="7" borderId="10" xfId="1" applyNumberFormat="1" applyFont="1" applyFill="1" applyBorder="1" applyAlignment="1" applyProtection="1">
      <alignment horizontal="center" vertical="center" wrapText="1"/>
    </xf>
    <xf numFmtId="164" fontId="3" fillId="7" borderId="10" xfId="1" quotePrefix="1" applyNumberFormat="1" applyFont="1" applyFill="1" applyBorder="1" applyAlignment="1" applyProtection="1">
      <alignment horizontal="center" vertical="center" wrapText="1"/>
    </xf>
    <xf numFmtId="164" fontId="3" fillId="7" borderId="10" xfId="1" applyNumberFormat="1" applyFont="1" applyFill="1" applyBorder="1" applyAlignment="1" applyProtection="1">
      <alignment horizontal="center" vertical="center" wrapText="1"/>
    </xf>
    <xf numFmtId="165" fontId="4" fillId="2" borderId="0" xfId="1" applyNumberFormat="1" applyFont="1" applyFill="1" applyProtection="1"/>
    <xf numFmtId="0" fontId="4" fillId="2" borderId="0" xfId="1" applyFont="1" applyFill="1" applyAlignment="1" applyProtection="1">
      <alignment horizontal="left"/>
    </xf>
    <xf numFmtId="0" fontId="8" fillId="2" borderId="15" xfId="1" applyFont="1" applyFill="1" applyBorder="1" applyAlignment="1" applyProtection="1">
      <alignment horizontal="left" vertical="center" wrapText="1"/>
    </xf>
    <xf numFmtId="0" fontId="8" fillId="2" borderId="13" xfId="1" applyFont="1" applyFill="1" applyBorder="1" applyAlignment="1" applyProtection="1">
      <alignment horizontal="left" vertical="center" wrapText="1"/>
    </xf>
    <xf numFmtId="0" fontId="8" fillId="2" borderId="14" xfId="1" applyFont="1" applyFill="1" applyBorder="1" applyAlignment="1" applyProtection="1">
      <alignment horizontal="left" vertical="center" wrapText="1"/>
    </xf>
    <xf numFmtId="0" fontId="8" fillId="2" borderId="15" xfId="1" applyFont="1" applyFill="1" applyBorder="1" applyAlignment="1">
      <alignment horizontal="left" vertical="center" wrapText="1"/>
    </xf>
    <xf numFmtId="0" fontId="8" fillId="2" borderId="13" xfId="1" applyFont="1" applyFill="1" applyBorder="1" applyAlignment="1">
      <alignment horizontal="left" vertical="center"/>
    </xf>
    <xf numFmtId="0" fontId="8" fillId="2" borderId="14" xfId="1" applyFont="1" applyFill="1" applyBorder="1" applyAlignment="1">
      <alignment horizontal="left" vertical="center"/>
    </xf>
    <xf numFmtId="0" fontId="8" fillId="2" borderId="15" xfId="1" applyFont="1" applyFill="1" applyBorder="1" applyAlignment="1">
      <alignment horizontal="left" vertical="center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9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wrapText="1"/>
    </xf>
    <xf numFmtId="0" fontId="8" fillId="7" borderId="10" xfId="1" applyFont="1" applyFill="1" applyBorder="1" applyAlignment="1" applyProtection="1">
      <alignment horizontal="center" vertical="center" wrapText="1"/>
    </xf>
    <xf numFmtId="0" fontId="8" fillId="7" borderId="15" xfId="1" applyFont="1" applyFill="1" applyBorder="1" applyAlignment="1" applyProtection="1">
      <alignment horizontal="center" vertical="center" wrapText="1"/>
    </xf>
    <xf numFmtId="0" fontId="8" fillId="7" borderId="13" xfId="1" applyFont="1" applyFill="1" applyBorder="1" applyAlignment="1" applyProtection="1">
      <alignment horizontal="center" vertical="center" wrapText="1"/>
    </xf>
    <xf numFmtId="0" fontId="8" fillId="7" borderId="14" xfId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10" xfId="1" applyFont="1" applyFill="1" applyBorder="1" applyAlignment="1" applyProtection="1">
      <alignment horizontal="center" vertical="center" textRotation="90" wrapText="1"/>
    </xf>
    <xf numFmtId="49" fontId="2" fillId="3" borderId="13" xfId="1" applyNumberFormat="1" applyFont="1" applyFill="1" applyBorder="1" applyAlignment="1" applyProtection="1">
      <alignment horizontal="center" vertical="center" wrapText="1"/>
    </xf>
    <xf numFmtId="164" fontId="5" fillId="3" borderId="13" xfId="1" applyNumberFormat="1" applyFont="1" applyFill="1" applyBorder="1" applyAlignment="1" applyProtection="1">
      <alignment horizontal="center" vertical="center" wrapText="1"/>
    </xf>
    <xf numFmtId="164" fontId="2" fillId="3" borderId="13" xfId="1" applyNumberFormat="1" applyFont="1" applyFill="1" applyBorder="1" applyAlignment="1" applyProtection="1">
      <alignment horizontal="center" vertical="center" wrapText="1"/>
    </xf>
    <xf numFmtId="164" fontId="2" fillId="3" borderId="14" xfId="1" applyNumberFormat="1" applyFont="1" applyFill="1" applyBorder="1" applyAlignment="1" applyProtection="1">
      <alignment horizontal="center" vertical="center" wrapText="1"/>
    </xf>
    <xf numFmtId="0" fontId="8" fillId="4" borderId="2" xfId="1" applyFont="1" applyFill="1" applyBorder="1" applyAlignment="1" applyProtection="1">
      <alignment horizontal="center" vertical="center" wrapText="1"/>
    </xf>
    <xf numFmtId="0" fontId="8" fillId="4" borderId="10" xfId="1" applyFont="1" applyFill="1" applyBorder="1" applyAlignment="1" applyProtection="1">
      <alignment horizontal="center" vertical="center" wrapText="1"/>
    </xf>
    <xf numFmtId="0" fontId="8" fillId="4" borderId="15" xfId="1" applyFont="1" applyFill="1" applyBorder="1" applyAlignment="1" applyProtection="1">
      <alignment horizontal="center" vertical="center" wrapText="1"/>
    </xf>
    <xf numFmtId="0" fontId="8" fillId="4" borderId="13" xfId="1" applyFont="1" applyFill="1" applyBorder="1" applyAlignment="1" applyProtection="1">
      <alignment horizontal="center" vertical="center" wrapText="1"/>
    </xf>
    <xf numFmtId="0" fontId="8" fillId="4" borderId="14" xfId="1" applyFont="1" applyFill="1" applyBorder="1" applyAlignment="1" applyProtection="1">
      <alignment horizontal="center" vertical="center" wrapText="1"/>
    </xf>
    <xf numFmtId="0" fontId="8" fillId="4" borderId="2" xfId="1" applyFont="1" applyFill="1" applyBorder="1" applyAlignment="1" applyProtection="1">
      <alignment horizontal="center" vertical="center" textRotation="90" wrapText="1"/>
    </xf>
    <xf numFmtId="0" fontId="8" fillId="4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0" transitionEvaluation="1" transitionEntry="1" codeName="Sheet12"/>
  <dimension ref="A1:Q456"/>
  <sheetViews>
    <sheetView showGridLines="0" tabSelected="1" view="pageBreakPreview" topLeftCell="A20" zoomScale="145" zoomScaleNormal="85" zoomScaleSheetLayoutView="145" workbookViewId="0">
      <selection activeCell="A35" sqref="A35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4.855468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89">
        <v>2021</v>
      </c>
      <c r="B1" s="89"/>
      <c r="C1" s="90" t="s">
        <v>37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  <c r="P1" s="91"/>
      <c r="Q1" s="92"/>
    </row>
    <row r="2" spans="1:17" ht="33" customHeight="1" x14ac:dyDescent="0.3">
      <c r="A2" s="93" t="s">
        <v>0</v>
      </c>
      <c r="B2" s="95" t="s">
        <v>1</v>
      </c>
      <c r="C2" s="96"/>
      <c r="D2" s="97"/>
      <c r="E2" s="98" t="s">
        <v>2</v>
      </c>
      <c r="F2" s="98" t="s">
        <v>3</v>
      </c>
      <c r="G2" s="98" t="s">
        <v>4</v>
      </c>
      <c r="H2" s="98" t="s">
        <v>5</v>
      </c>
      <c r="I2" s="95" t="s">
        <v>6</v>
      </c>
      <c r="J2" s="96"/>
      <c r="K2" s="97"/>
      <c r="L2" s="95" t="s">
        <v>7</v>
      </c>
      <c r="M2" s="96"/>
      <c r="N2" s="96"/>
      <c r="O2" s="97"/>
      <c r="P2" s="98" t="s">
        <v>8</v>
      </c>
      <c r="Q2" s="98" t="s">
        <v>9</v>
      </c>
    </row>
    <row r="3" spans="1:17" ht="155.25" customHeight="1" x14ac:dyDescent="0.3">
      <c r="A3" s="94"/>
      <c r="B3" s="4" t="s">
        <v>10</v>
      </c>
      <c r="C3" s="4" t="s">
        <v>11</v>
      </c>
      <c r="D3" s="4" t="s">
        <v>12</v>
      </c>
      <c r="E3" s="99"/>
      <c r="F3" s="99"/>
      <c r="G3" s="99"/>
      <c r="H3" s="99"/>
      <c r="I3" s="4" t="s">
        <v>13</v>
      </c>
      <c r="J3" s="5" t="s">
        <v>14</v>
      </c>
      <c r="K3" s="4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99"/>
      <c r="Q3" s="99"/>
    </row>
    <row r="4" spans="1:17" ht="23.1" customHeight="1" x14ac:dyDescent="0.3">
      <c r="A4" s="7" t="s">
        <v>20</v>
      </c>
      <c r="B4" s="8"/>
      <c r="C4" s="9"/>
      <c r="D4" s="10"/>
      <c r="E4" s="8"/>
      <c r="F4" s="9"/>
      <c r="G4" s="9"/>
      <c r="H4" s="11"/>
      <c r="I4" s="12"/>
      <c r="J4" s="12"/>
      <c r="K4" s="12"/>
      <c r="L4" s="13"/>
      <c r="M4" s="12"/>
      <c r="N4" s="12"/>
      <c r="O4" s="14"/>
      <c r="P4" s="13"/>
      <c r="Q4" s="14"/>
    </row>
    <row r="5" spans="1:17" ht="23.1" customHeight="1" x14ac:dyDescent="0.3">
      <c r="A5" s="15" t="s">
        <v>21</v>
      </c>
      <c r="B5" s="16"/>
      <c r="C5" s="15"/>
      <c r="D5" s="17"/>
      <c r="E5" s="16"/>
      <c r="F5" s="15"/>
      <c r="G5" s="15"/>
      <c r="H5" s="18"/>
      <c r="I5" s="19"/>
      <c r="J5" s="19"/>
      <c r="K5" s="19"/>
      <c r="L5" s="20"/>
      <c r="M5" s="19"/>
      <c r="N5" s="19"/>
      <c r="O5" s="18"/>
      <c r="P5" s="20"/>
      <c r="Q5" s="18"/>
    </row>
    <row r="6" spans="1:17" ht="23.1" customHeight="1" x14ac:dyDescent="0.3">
      <c r="A6" s="7" t="s">
        <v>22</v>
      </c>
      <c r="B6" s="21"/>
      <c r="C6" s="7"/>
      <c r="D6" s="22"/>
      <c r="E6" s="21"/>
      <c r="F6" s="7"/>
      <c r="G6" s="7"/>
      <c r="H6" s="11"/>
      <c r="I6" s="23"/>
      <c r="J6" s="23"/>
      <c r="K6" s="23"/>
      <c r="L6" s="24"/>
      <c r="M6" s="23"/>
      <c r="N6" s="23"/>
      <c r="O6" s="11"/>
      <c r="P6" s="24"/>
      <c r="Q6" s="11"/>
    </row>
    <row r="7" spans="1:17" ht="23.1" customHeight="1" x14ac:dyDescent="0.3">
      <c r="A7" s="15" t="s">
        <v>23</v>
      </c>
      <c r="B7" s="16"/>
      <c r="C7" s="15"/>
      <c r="D7" s="17"/>
      <c r="E7" s="16"/>
      <c r="F7" s="15"/>
      <c r="G7" s="15"/>
      <c r="H7" s="18"/>
      <c r="I7" s="19"/>
      <c r="J7" s="19"/>
      <c r="K7" s="19"/>
      <c r="L7" s="20"/>
      <c r="M7" s="19"/>
      <c r="N7" s="19"/>
      <c r="O7" s="18"/>
      <c r="P7" s="20"/>
      <c r="Q7" s="18"/>
    </row>
    <row r="8" spans="1:17" s="2" customFormat="1" ht="30" customHeight="1" x14ac:dyDescent="0.25">
      <c r="A8" s="7" t="s">
        <v>24</v>
      </c>
      <c r="B8" s="21"/>
      <c r="C8" s="7"/>
      <c r="D8" s="22"/>
      <c r="E8" s="21"/>
      <c r="F8" s="7"/>
      <c r="G8" s="7"/>
      <c r="H8" s="11"/>
      <c r="I8" s="23"/>
      <c r="J8" s="23"/>
      <c r="K8" s="23"/>
      <c r="L8" s="24"/>
      <c r="M8" s="23"/>
      <c r="N8" s="23"/>
      <c r="O8" s="11"/>
      <c r="P8" s="24"/>
      <c r="Q8" s="11"/>
    </row>
    <row r="9" spans="1:17" ht="23.1" customHeight="1" x14ac:dyDescent="0.3">
      <c r="A9" s="15" t="s">
        <v>25</v>
      </c>
      <c r="B9" s="16"/>
      <c r="C9" s="15"/>
      <c r="D9" s="17"/>
      <c r="E9" s="16"/>
      <c r="F9" s="15"/>
      <c r="G9" s="15"/>
      <c r="H9" s="18"/>
      <c r="I9" s="19"/>
      <c r="J9" s="19"/>
      <c r="K9" s="19"/>
      <c r="L9" s="20"/>
      <c r="M9" s="19"/>
      <c r="N9" s="19"/>
      <c r="O9" s="18"/>
      <c r="P9" s="20"/>
      <c r="Q9" s="18"/>
    </row>
    <row r="10" spans="1:17" ht="23.1" customHeight="1" x14ac:dyDescent="0.3">
      <c r="A10" s="7" t="s">
        <v>26</v>
      </c>
      <c r="B10" s="21"/>
      <c r="C10" s="7"/>
      <c r="D10" s="22"/>
      <c r="E10" s="21"/>
      <c r="F10" s="7"/>
      <c r="G10" s="7"/>
      <c r="H10" s="11"/>
      <c r="I10" s="23"/>
      <c r="J10" s="23"/>
      <c r="K10" s="23"/>
      <c r="L10" s="24"/>
      <c r="M10" s="23"/>
      <c r="N10" s="23"/>
      <c r="O10" s="11"/>
      <c r="P10" s="24"/>
      <c r="Q10" s="11"/>
    </row>
    <row r="11" spans="1:17" ht="23.1" customHeight="1" x14ac:dyDescent="0.3">
      <c r="A11" s="15" t="s">
        <v>27</v>
      </c>
      <c r="B11" s="16"/>
      <c r="C11" s="15"/>
      <c r="D11" s="17"/>
      <c r="E11" s="16"/>
      <c r="F11" s="15"/>
      <c r="G11" s="15"/>
      <c r="H11" s="18"/>
      <c r="I11" s="19"/>
      <c r="J11" s="19"/>
      <c r="K11" s="19"/>
      <c r="L11" s="20"/>
      <c r="M11" s="19"/>
      <c r="N11" s="19"/>
      <c r="O11" s="18"/>
      <c r="P11" s="20"/>
      <c r="Q11" s="18"/>
    </row>
    <row r="12" spans="1:17" ht="23.1" customHeight="1" x14ac:dyDescent="0.3">
      <c r="A12" s="7" t="s">
        <v>28</v>
      </c>
      <c r="B12" s="21"/>
      <c r="C12" s="7"/>
      <c r="D12" s="22"/>
      <c r="E12" s="21"/>
      <c r="F12" s="7"/>
      <c r="G12" s="7"/>
      <c r="H12" s="11"/>
      <c r="I12" s="23"/>
      <c r="J12" s="23"/>
      <c r="K12" s="23"/>
      <c r="L12" s="24"/>
      <c r="M12" s="23"/>
      <c r="N12" s="23"/>
      <c r="O12" s="11"/>
      <c r="P12" s="24"/>
      <c r="Q12" s="11"/>
    </row>
    <row r="13" spans="1:17" ht="23.1" customHeight="1" x14ac:dyDescent="0.3">
      <c r="A13" s="15" t="s">
        <v>29</v>
      </c>
      <c r="B13" s="16"/>
      <c r="C13" s="15"/>
      <c r="D13" s="17"/>
      <c r="E13" s="16"/>
      <c r="F13" s="15"/>
      <c r="G13" s="15"/>
      <c r="H13" s="18"/>
      <c r="I13" s="19"/>
      <c r="J13" s="19"/>
      <c r="K13" s="19"/>
      <c r="L13" s="20"/>
      <c r="M13" s="19"/>
      <c r="N13" s="19"/>
      <c r="O13" s="18"/>
      <c r="P13" s="20"/>
      <c r="Q13" s="18"/>
    </row>
    <row r="14" spans="1:17" ht="23.1" customHeight="1" x14ac:dyDescent="0.3">
      <c r="A14" s="7" t="s">
        <v>30</v>
      </c>
      <c r="B14" s="21"/>
      <c r="C14" s="7"/>
      <c r="D14" s="22"/>
      <c r="E14" s="21"/>
      <c r="F14" s="7"/>
      <c r="G14" s="7"/>
      <c r="H14" s="11"/>
      <c r="I14" s="23"/>
      <c r="J14" s="23"/>
      <c r="K14" s="23"/>
      <c r="L14" s="24"/>
      <c r="M14" s="23"/>
      <c r="N14" s="23"/>
      <c r="O14" s="11"/>
      <c r="P14" s="24"/>
      <c r="Q14" s="11"/>
    </row>
    <row r="15" spans="1:17" ht="23.1" customHeight="1" x14ac:dyDescent="0.3">
      <c r="A15" s="15" t="s">
        <v>31</v>
      </c>
      <c r="B15" s="25"/>
      <c r="C15" s="26"/>
      <c r="D15" s="27"/>
      <c r="E15" s="25"/>
      <c r="F15" s="26"/>
      <c r="G15" s="26"/>
      <c r="H15" s="18" t="str">
        <f t="shared" ref="H15:H16" si="0">IFERROR(F15/G15*100," ")</f>
        <v xml:space="preserve"> </v>
      </c>
      <c r="I15" s="28"/>
      <c r="J15" s="28"/>
      <c r="K15" s="28" t="str">
        <f t="shared" ref="K15:K16" si="1">IF(AND(ISBLANK(I15),ISBLANK(J15))=TRUE,"",I15+J15)</f>
        <v/>
      </c>
      <c r="L15" s="29"/>
      <c r="M15" s="28"/>
      <c r="N15" s="28"/>
      <c r="O15" s="30" t="str">
        <f t="shared" ref="O15:O16" si="2">IF(AND(ISBLANK(L15),ISBLANK(M15),ISBLANK(N15))=TRUE,"",L15+M15+N15)</f>
        <v/>
      </c>
      <c r="P15" s="29"/>
      <c r="Q15" s="30" t="str">
        <f t="shared" ref="Q15:Q16" si="3">IFERROR(O15/P15*100," ")</f>
        <v xml:space="preserve"> </v>
      </c>
    </row>
    <row r="16" spans="1:17" ht="23.1" customHeight="1" x14ac:dyDescent="0.3">
      <c r="A16" s="31" t="s">
        <v>32</v>
      </c>
      <c r="B16" s="32">
        <f t="shared" ref="B16:G16" si="4">SUM(B4:B15)</f>
        <v>0</v>
      </c>
      <c r="C16" s="32">
        <f t="shared" si="4"/>
        <v>0</v>
      </c>
      <c r="D16" s="32">
        <f t="shared" si="4"/>
        <v>0</v>
      </c>
      <c r="E16" s="32">
        <f t="shared" si="4"/>
        <v>0</v>
      </c>
      <c r="F16" s="32">
        <f t="shared" si="4"/>
        <v>0</v>
      </c>
      <c r="G16" s="32">
        <f t="shared" si="4"/>
        <v>0</v>
      </c>
      <c r="H16" s="33" t="str">
        <f t="shared" si="0"/>
        <v xml:space="preserve"> </v>
      </c>
      <c r="I16" s="34">
        <f>SUM(I4:I15)</f>
        <v>0</v>
      </c>
      <c r="J16" s="34">
        <f>SUM(J4:J15)</f>
        <v>0</v>
      </c>
      <c r="K16" s="34">
        <f t="shared" si="1"/>
        <v>0</v>
      </c>
      <c r="L16" s="34">
        <f>SUM(L4:L15)</f>
        <v>0</v>
      </c>
      <c r="M16" s="34">
        <f>SUM(M4:M15)</f>
        <v>0</v>
      </c>
      <c r="N16" s="34">
        <f>SUM(N4:N15)</f>
        <v>0</v>
      </c>
      <c r="O16" s="34">
        <f t="shared" si="2"/>
        <v>0</v>
      </c>
      <c r="P16" s="34">
        <f>SUM(P4:P15)</f>
        <v>0</v>
      </c>
      <c r="Q16" s="34" t="str">
        <f t="shared" si="3"/>
        <v xml:space="preserve"> </v>
      </c>
    </row>
    <row r="17" spans="1:17" ht="20.100000000000001" customHeight="1" x14ac:dyDescent="0.3">
      <c r="A17" s="72" t="s">
        <v>39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</row>
    <row r="18" spans="1:17" s="3" customFormat="1" x14ac:dyDescent="0.25">
      <c r="A18" s="78" t="s">
        <v>33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7"/>
    </row>
    <row r="19" spans="1:17" s="3" customFormat="1" x14ac:dyDescent="0.25">
      <c r="A19" s="78" t="s">
        <v>34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7"/>
    </row>
    <row r="20" spans="1:17" ht="51.75" customHeight="1" x14ac:dyDescent="0.3">
      <c r="A20" s="79">
        <v>2021</v>
      </c>
      <c r="B20" s="79"/>
      <c r="C20" s="80" t="s">
        <v>38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81"/>
      <c r="Q20" s="81"/>
    </row>
    <row r="21" spans="1:17" ht="33" customHeight="1" x14ac:dyDescent="0.3">
      <c r="A21" s="82" t="s">
        <v>0</v>
      </c>
      <c r="B21" s="84" t="s">
        <v>1</v>
      </c>
      <c r="C21" s="85"/>
      <c r="D21" s="86"/>
      <c r="E21" s="87" t="s">
        <v>2</v>
      </c>
      <c r="F21" s="87" t="s">
        <v>3</v>
      </c>
      <c r="G21" s="87" t="s">
        <v>4</v>
      </c>
      <c r="H21" s="87" t="s">
        <v>5</v>
      </c>
      <c r="I21" s="84" t="s">
        <v>6</v>
      </c>
      <c r="J21" s="85"/>
      <c r="K21" s="86"/>
      <c r="L21" s="84" t="s">
        <v>7</v>
      </c>
      <c r="M21" s="85"/>
      <c r="N21" s="85"/>
      <c r="O21" s="86"/>
      <c r="P21" s="87" t="s">
        <v>8</v>
      </c>
      <c r="Q21" s="87" t="s">
        <v>9</v>
      </c>
    </row>
    <row r="22" spans="1:17" ht="150.75" customHeight="1" x14ac:dyDescent="0.3">
      <c r="A22" s="83"/>
      <c r="B22" s="48" t="s">
        <v>10</v>
      </c>
      <c r="C22" s="48" t="s">
        <v>11</v>
      </c>
      <c r="D22" s="48" t="s">
        <v>12</v>
      </c>
      <c r="E22" s="88"/>
      <c r="F22" s="88"/>
      <c r="G22" s="88"/>
      <c r="H22" s="88"/>
      <c r="I22" s="48" t="s">
        <v>13</v>
      </c>
      <c r="J22" s="49" t="s">
        <v>14</v>
      </c>
      <c r="K22" s="48" t="s">
        <v>15</v>
      </c>
      <c r="L22" s="48" t="s">
        <v>16</v>
      </c>
      <c r="M22" s="48" t="s">
        <v>17</v>
      </c>
      <c r="N22" s="48" t="s">
        <v>18</v>
      </c>
      <c r="O22" s="48" t="s">
        <v>19</v>
      </c>
      <c r="P22" s="88"/>
      <c r="Q22" s="88"/>
    </row>
    <row r="23" spans="1:17" ht="23.1" customHeight="1" x14ac:dyDescent="0.3">
      <c r="A23" s="50" t="s">
        <v>20</v>
      </c>
      <c r="B23" s="51">
        <v>6562</v>
      </c>
      <c r="C23" s="52">
        <v>27572.143333333337</v>
      </c>
      <c r="D23" s="53">
        <v>21208.722000000002</v>
      </c>
      <c r="E23" s="51">
        <v>768535</v>
      </c>
      <c r="F23" s="52">
        <v>2844620.9029999999</v>
      </c>
      <c r="G23" s="52">
        <v>3942726.1880000001</v>
      </c>
      <c r="H23" s="54">
        <f t="shared" ref="H23:H35" si="5">IFERROR(F23/G23*100," ")</f>
        <v>72.148578606798239</v>
      </c>
      <c r="I23" s="55">
        <v>13550.410819999997</v>
      </c>
      <c r="J23" s="56">
        <v>6.3230000000000004</v>
      </c>
      <c r="K23" s="56">
        <f>IF(AND(ISBLANK(I23),ISBLANK(J23))=TRUE,"",I23+J23)</f>
        <v>13556.733819999998</v>
      </c>
      <c r="L23" s="55">
        <v>239876.40918900003</v>
      </c>
      <c r="M23" s="56">
        <v>51373.078981860017</v>
      </c>
      <c r="N23" s="56">
        <v>18.651057000000002</v>
      </c>
      <c r="O23" s="57">
        <f>IF(AND(ISBLANK(L23),ISBLANK(M23),ISBLANK(N23))=TRUE,"",L23+M23+N23)</f>
        <v>291268.13922786003</v>
      </c>
      <c r="P23" s="56">
        <v>515663.25498199993</v>
      </c>
      <c r="Q23" s="54">
        <f>IFERROR(O23/P23*100," ")</f>
        <v>56.484175751096942</v>
      </c>
    </row>
    <row r="24" spans="1:17" ht="23.1" customHeight="1" x14ac:dyDescent="0.3">
      <c r="A24" s="35" t="s">
        <v>21</v>
      </c>
      <c r="B24" s="37">
        <v>6121</v>
      </c>
      <c r="C24" s="38">
        <v>26018.76733333333</v>
      </c>
      <c r="D24" s="41">
        <v>19655.744000000002</v>
      </c>
      <c r="E24" s="37">
        <v>730070</v>
      </c>
      <c r="F24" s="38">
        <v>2701582.0919999997</v>
      </c>
      <c r="G24" s="38">
        <v>3786193.7240000004</v>
      </c>
      <c r="H24" s="58">
        <f t="shared" si="5"/>
        <v>71.353509327194672</v>
      </c>
      <c r="I24" s="39">
        <v>13717.11332</v>
      </c>
      <c r="J24" s="40">
        <v>3.2569999999999997</v>
      </c>
      <c r="K24" s="40">
        <f t="shared" ref="K24:K35" si="6">IF(AND(ISBLANK(I24),ISBLANK(J24))=TRUE,"",I24+J24)</f>
        <v>13720.37032</v>
      </c>
      <c r="L24" s="39">
        <v>232431.891871</v>
      </c>
      <c r="M24" s="40">
        <v>52227.059931620024</v>
      </c>
      <c r="N24" s="40">
        <v>9.5946239999999996</v>
      </c>
      <c r="O24" s="36">
        <f t="shared" ref="O24:O35" si="7">IF(AND(ISBLANK(L24),ISBLANK(M24),ISBLANK(N24))=TRUE,"",L24+M24+N24)</f>
        <v>284668.54642662004</v>
      </c>
      <c r="P24" s="40">
        <v>493742.83668299997</v>
      </c>
      <c r="Q24" s="58">
        <f t="shared" ref="Q24:Q35" si="8">IFERROR(O24/P24*100," ")</f>
        <v>57.65522561077421</v>
      </c>
    </row>
    <row r="25" spans="1:17" ht="23.1" customHeight="1" x14ac:dyDescent="0.3">
      <c r="A25" s="50" t="s">
        <v>22</v>
      </c>
      <c r="B25" s="59">
        <v>6817</v>
      </c>
      <c r="C25" s="60">
        <v>29318.55000000001</v>
      </c>
      <c r="D25" s="61">
        <v>21828.413</v>
      </c>
      <c r="E25" s="59">
        <v>814739</v>
      </c>
      <c r="F25" s="60">
        <v>3017801.9539999999</v>
      </c>
      <c r="G25" s="60">
        <v>4196079.8829999994</v>
      </c>
      <c r="H25" s="62">
        <f t="shared" si="5"/>
        <v>71.919554397101081</v>
      </c>
      <c r="I25" s="63">
        <v>16285.96581</v>
      </c>
      <c r="J25" s="64">
        <v>2.6290000000000004</v>
      </c>
      <c r="K25" s="64">
        <f t="shared" si="6"/>
        <v>16288.594810000001</v>
      </c>
      <c r="L25" s="63">
        <v>258348.26524400001</v>
      </c>
      <c r="M25" s="64">
        <v>63515.037347709993</v>
      </c>
      <c r="N25" s="64">
        <v>8.3108550000000001</v>
      </c>
      <c r="O25" s="65">
        <f t="shared" si="7"/>
        <v>321871.61344670999</v>
      </c>
      <c r="P25" s="64">
        <v>569247.11809499993</v>
      </c>
      <c r="Q25" s="62">
        <f t="shared" si="8"/>
        <v>56.543389191650476</v>
      </c>
    </row>
    <row r="26" spans="1:17" ht="23.1" customHeight="1" x14ac:dyDescent="0.3">
      <c r="A26" s="35" t="s">
        <v>23</v>
      </c>
      <c r="B26" s="37">
        <v>6120</v>
      </c>
      <c r="C26" s="38">
        <v>26494.473333333346</v>
      </c>
      <c r="D26" s="41">
        <v>20118.416000000001</v>
      </c>
      <c r="E26" s="37">
        <v>656481</v>
      </c>
      <c r="F26" s="38">
        <v>2510451.8170000003</v>
      </c>
      <c r="G26" s="38">
        <v>3905657.2590000005</v>
      </c>
      <c r="H26" s="58">
        <f t="shared" si="5"/>
        <v>64.277320064760957</v>
      </c>
      <c r="I26" s="39">
        <v>17794.533809999997</v>
      </c>
      <c r="J26" s="40">
        <v>2.2610000000000001</v>
      </c>
      <c r="K26" s="40">
        <f t="shared" si="6"/>
        <v>17796.794809999996</v>
      </c>
      <c r="L26" s="39">
        <v>223369.070068</v>
      </c>
      <c r="M26" s="40">
        <v>69990.33464891999</v>
      </c>
      <c r="N26" s="40">
        <v>7.0324350000000004</v>
      </c>
      <c r="O26" s="36">
        <f t="shared" si="7"/>
        <v>293366.43715191999</v>
      </c>
      <c r="P26" s="40">
        <v>536436.9735160002</v>
      </c>
      <c r="Q26" s="58">
        <f t="shared" si="8"/>
        <v>54.687959934806727</v>
      </c>
    </row>
    <row r="27" spans="1:17" s="2" customFormat="1" ht="30" customHeight="1" x14ac:dyDescent="0.25">
      <c r="A27" s="50" t="s">
        <v>24</v>
      </c>
      <c r="B27" s="59">
        <v>3846</v>
      </c>
      <c r="C27" s="60">
        <v>17182.623333333329</v>
      </c>
      <c r="D27" s="61">
        <v>13157.585000000001</v>
      </c>
      <c r="E27" s="59">
        <v>222466</v>
      </c>
      <c r="F27" s="60">
        <v>890488.14999999991</v>
      </c>
      <c r="G27" s="60">
        <v>2230636.8569999998</v>
      </c>
      <c r="H27" s="62">
        <f t="shared" si="5"/>
        <v>39.920803209430694</v>
      </c>
      <c r="I27" s="63">
        <v>15725.714089999999</v>
      </c>
      <c r="J27" s="64">
        <v>2.2610000000000001</v>
      </c>
      <c r="K27" s="64">
        <f t="shared" si="6"/>
        <v>15727.97509</v>
      </c>
      <c r="L27" s="63">
        <v>105458.650762</v>
      </c>
      <c r="M27" s="64">
        <v>64275.050451980009</v>
      </c>
      <c r="N27" s="64">
        <v>7.0305240000000007</v>
      </c>
      <c r="O27" s="65">
        <f t="shared" si="7"/>
        <v>169740.73173798001</v>
      </c>
      <c r="P27" s="64">
        <v>359132.40434800007</v>
      </c>
      <c r="Q27" s="62">
        <f t="shared" si="8"/>
        <v>47.26410919285938</v>
      </c>
    </row>
    <row r="28" spans="1:17" ht="23.1" customHeight="1" x14ac:dyDescent="0.3">
      <c r="A28" s="35" t="s">
        <v>25</v>
      </c>
      <c r="B28" s="37">
        <v>3311</v>
      </c>
      <c r="C28" s="38">
        <v>14286.713333333337</v>
      </c>
      <c r="D28" s="41">
        <v>10886.082</v>
      </c>
      <c r="E28" s="37">
        <v>223646</v>
      </c>
      <c r="F28" s="38">
        <v>859991.83900000004</v>
      </c>
      <c r="G28" s="38">
        <v>1804808.8489999999</v>
      </c>
      <c r="H28" s="58">
        <f t="shared" si="5"/>
        <v>47.650023406994059</v>
      </c>
      <c r="I28" s="39">
        <v>15113.128070000002</v>
      </c>
      <c r="J28" s="40">
        <v>2.2686999999999999</v>
      </c>
      <c r="K28" s="40">
        <f t="shared" si="6"/>
        <v>15115.396770000003</v>
      </c>
      <c r="L28" s="39">
        <v>75294.714341000014</v>
      </c>
      <c r="M28" s="40">
        <v>58262.873148109989</v>
      </c>
      <c r="N28" s="40">
        <v>6.4881629999999992</v>
      </c>
      <c r="O28" s="36">
        <f t="shared" si="7"/>
        <v>133564.07565211001</v>
      </c>
      <c r="P28" s="40">
        <v>274739.17464799999</v>
      </c>
      <c r="Q28" s="58">
        <f t="shared" si="8"/>
        <v>48.614863833391922</v>
      </c>
    </row>
    <row r="29" spans="1:17" ht="23.1" customHeight="1" x14ac:dyDescent="0.3">
      <c r="A29" s="50" t="s">
        <v>26</v>
      </c>
      <c r="B29" s="59">
        <v>4252</v>
      </c>
      <c r="C29" s="60">
        <v>18303.54</v>
      </c>
      <c r="D29" s="61">
        <v>13647.176000000001</v>
      </c>
      <c r="E29" s="59">
        <v>338597</v>
      </c>
      <c r="F29" s="60">
        <v>1292477.321</v>
      </c>
      <c r="G29" s="60">
        <v>2215378.0869999998</v>
      </c>
      <c r="H29" s="62">
        <f t="shared" si="5"/>
        <v>58.341162106114133</v>
      </c>
      <c r="I29" s="63">
        <v>17473.765790000005</v>
      </c>
      <c r="J29" s="64">
        <v>5.0579999999999989</v>
      </c>
      <c r="K29" s="64">
        <f t="shared" si="6"/>
        <v>17478.823790000006</v>
      </c>
      <c r="L29" s="63">
        <v>113255.26984099999</v>
      </c>
      <c r="M29" s="64">
        <v>64038.233902110012</v>
      </c>
      <c r="N29" s="64">
        <v>14.130255999999999</v>
      </c>
      <c r="O29" s="65">
        <f t="shared" si="7"/>
        <v>177307.63399911</v>
      </c>
      <c r="P29" s="64">
        <v>339510.92162600002</v>
      </c>
      <c r="Q29" s="62">
        <f t="shared" si="8"/>
        <v>52.224427170101272</v>
      </c>
    </row>
    <row r="30" spans="1:17" ht="23.1" customHeight="1" x14ac:dyDescent="0.3">
      <c r="A30" s="35" t="s">
        <v>27</v>
      </c>
      <c r="B30" s="37">
        <v>5756</v>
      </c>
      <c r="C30" s="38">
        <v>24334.116666666665</v>
      </c>
      <c r="D30" s="41">
        <v>18255.436000000002</v>
      </c>
      <c r="E30" s="37">
        <v>559795</v>
      </c>
      <c r="F30" s="38">
        <v>2064255.2449999999</v>
      </c>
      <c r="G30" s="38">
        <v>3370784.7539999997</v>
      </c>
      <c r="H30" s="58">
        <f t="shared" si="5"/>
        <v>61.239604295421593</v>
      </c>
      <c r="I30" s="39">
        <v>17598.919379999999</v>
      </c>
      <c r="J30" s="40">
        <v>6.32</v>
      </c>
      <c r="K30" s="40">
        <f t="shared" si="6"/>
        <v>17605.239379999999</v>
      </c>
      <c r="L30" s="39">
        <v>178965.97563499998</v>
      </c>
      <c r="M30" s="40">
        <v>63972.897594800001</v>
      </c>
      <c r="N30" s="40">
        <v>18.365373999999999</v>
      </c>
      <c r="O30" s="36">
        <f t="shared" si="7"/>
        <v>242957.23860379995</v>
      </c>
      <c r="P30" s="40">
        <v>463215.08105600008</v>
      </c>
      <c r="Q30" s="58">
        <f t="shared" si="8"/>
        <v>52.450200466255502</v>
      </c>
    </row>
    <row r="31" spans="1:17" ht="23.1" customHeight="1" x14ac:dyDescent="0.3">
      <c r="A31" s="50" t="s">
        <v>28</v>
      </c>
      <c r="B31" s="59">
        <v>7281</v>
      </c>
      <c r="C31" s="60">
        <v>30144.28666666666</v>
      </c>
      <c r="D31" s="61">
        <v>22428.62</v>
      </c>
      <c r="E31" s="59">
        <v>787960</v>
      </c>
      <c r="F31" s="60">
        <v>2587351.3190000001</v>
      </c>
      <c r="G31" s="60">
        <v>4037270.3430000003</v>
      </c>
      <c r="H31" s="62">
        <f t="shared" si="5"/>
        <v>64.086650117103645</v>
      </c>
      <c r="I31" s="63">
        <v>20684.115100000006</v>
      </c>
      <c r="J31" s="64">
        <v>7.9226582340835607</v>
      </c>
      <c r="K31" s="64">
        <f t="shared" si="6"/>
        <v>20692.037758234092</v>
      </c>
      <c r="L31" s="63">
        <v>219112.37955100002</v>
      </c>
      <c r="M31" s="64">
        <v>80450.16806276</v>
      </c>
      <c r="N31" s="64">
        <v>21.424928431891605</v>
      </c>
      <c r="O31" s="65">
        <f t="shared" si="7"/>
        <v>299583.97254219186</v>
      </c>
      <c r="P31" s="64">
        <v>562095.09642500011</v>
      </c>
      <c r="Q31" s="62">
        <f t="shared" si="8"/>
        <v>53.297738131427572</v>
      </c>
    </row>
    <row r="32" spans="1:17" ht="23.1" customHeight="1" x14ac:dyDescent="0.3">
      <c r="A32" s="35" t="s">
        <v>29</v>
      </c>
      <c r="B32" s="37">
        <v>8475</v>
      </c>
      <c r="C32" s="38">
        <v>35306.256666666675</v>
      </c>
      <c r="D32" s="41">
        <v>26066.164000000001</v>
      </c>
      <c r="E32" s="37">
        <v>1045969</v>
      </c>
      <c r="F32" s="38">
        <v>3529591.0710000005</v>
      </c>
      <c r="G32" s="38">
        <v>4909929.5599999996</v>
      </c>
      <c r="H32" s="58">
        <f t="shared" si="5"/>
        <v>71.886796498155888</v>
      </c>
      <c r="I32" s="39">
        <v>21662.371719999996</v>
      </c>
      <c r="J32" s="40">
        <v>9.5888827331407676</v>
      </c>
      <c r="K32" s="40">
        <f t="shared" si="6"/>
        <v>21671.960602733136</v>
      </c>
      <c r="L32" s="39">
        <v>309571.72564800002</v>
      </c>
      <c r="M32" s="40">
        <v>86698.336831697496</v>
      </c>
      <c r="N32" s="40">
        <v>27.887031999999998</v>
      </c>
      <c r="O32" s="36">
        <f t="shared" si="7"/>
        <v>396297.94951169752</v>
      </c>
      <c r="P32" s="40">
        <v>663839.73455399997</v>
      </c>
      <c r="Q32" s="58">
        <f t="shared" si="8"/>
        <v>59.69783501705421</v>
      </c>
    </row>
    <row r="33" spans="1:17" ht="23.1" customHeight="1" x14ac:dyDescent="0.3">
      <c r="A33" s="50" t="s">
        <v>30</v>
      </c>
      <c r="B33" s="59">
        <v>8526</v>
      </c>
      <c r="C33" s="60">
        <v>36607.903333333335</v>
      </c>
      <c r="D33" s="61">
        <v>26971.901000000005</v>
      </c>
      <c r="E33" s="59">
        <v>1162717</v>
      </c>
      <c r="F33" s="60">
        <v>4138165.807</v>
      </c>
      <c r="G33" s="60">
        <v>5310904.483</v>
      </c>
      <c r="H33" s="62">
        <f t="shared" si="5"/>
        <v>77.918287181516988</v>
      </c>
      <c r="I33" s="63">
        <v>18391.014539999996</v>
      </c>
      <c r="J33" s="64">
        <v>4.5810782838821469</v>
      </c>
      <c r="K33" s="64">
        <f t="shared" si="6"/>
        <v>18395.595618283878</v>
      </c>
      <c r="L33" s="63">
        <v>385174.01078700001</v>
      </c>
      <c r="M33" s="64">
        <v>71784.090161344502</v>
      </c>
      <c r="N33" s="64">
        <v>13.075907288737508</v>
      </c>
      <c r="O33" s="65">
        <f t="shared" si="7"/>
        <v>456971.17685563327</v>
      </c>
      <c r="P33" s="64">
        <v>780436.35743399977</v>
      </c>
      <c r="Q33" s="62">
        <f t="shared" si="8"/>
        <v>58.553291694163356</v>
      </c>
    </row>
    <row r="34" spans="1:17" ht="23.1" customHeight="1" x14ac:dyDescent="0.3">
      <c r="A34" s="35" t="s">
        <v>31</v>
      </c>
      <c r="B34" s="42">
        <v>9599</v>
      </c>
      <c r="C34" s="43">
        <v>39857.456666666665</v>
      </c>
      <c r="D34" s="44">
        <v>30316.186999999998</v>
      </c>
      <c r="E34" s="42">
        <v>1387628</v>
      </c>
      <c r="F34" s="43">
        <v>4855522.8640000001</v>
      </c>
      <c r="G34" s="43">
        <v>6120484.6490000002</v>
      </c>
      <c r="H34" s="45">
        <f t="shared" si="5"/>
        <v>79.332326481585454</v>
      </c>
      <c r="I34" s="46">
        <v>19015.115429999998</v>
      </c>
      <c r="J34" s="47">
        <v>5.8801623916797663</v>
      </c>
      <c r="K34" s="47">
        <f t="shared" si="6"/>
        <v>19020.995592391679</v>
      </c>
      <c r="L34" s="46">
        <v>452251.64867100003</v>
      </c>
      <c r="M34" s="47">
        <v>77706.928211357459</v>
      </c>
      <c r="N34" s="47">
        <v>16.136632347956787</v>
      </c>
      <c r="O34" s="45">
        <f t="shared" si="7"/>
        <v>529974.71351470542</v>
      </c>
      <c r="P34" s="47">
        <v>410554.10331100004</v>
      </c>
      <c r="Q34" s="45">
        <f t="shared" si="8"/>
        <v>129.08766694586967</v>
      </c>
    </row>
    <row r="35" spans="1:17" ht="23.1" customHeight="1" x14ac:dyDescent="0.3">
      <c r="A35" s="66" t="s">
        <v>32</v>
      </c>
      <c r="B35" s="67">
        <f t="shared" ref="B35:G35" si="9">SUM(B23:B34)</f>
        <v>76666</v>
      </c>
      <c r="C35" s="67">
        <f t="shared" si="9"/>
        <v>325426.83066666673</v>
      </c>
      <c r="D35" s="67">
        <f t="shared" si="9"/>
        <v>244540.44600000003</v>
      </c>
      <c r="E35" s="67">
        <f t="shared" si="9"/>
        <v>8698603</v>
      </c>
      <c r="F35" s="67">
        <f t="shared" si="9"/>
        <v>31292300.382000003</v>
      </c>
      <c r="G35" s="67">
        <f t="shared" si="9"/>
        <v>45830854.636000007</v>
      </c>
      <c r="H35" s="68">
        <f t="shared" si="5"/>
        <v>68.277802433603298</v>
      </c>
      <c r="I35" s="69">
        <f>SUM(I23:I34)</f>
        <v>207012.16787999999</v>
      </c>
      <c r="J35" s="69">
        <f>SUM(J23:J34)</f>
        <v>58.350481642786242</v>
      </c>
      <c r="K35" s="69">
        <f t="shared" si="6"/>
        <v>207070.51836164278</v>
      </c>
      <c r="L35" s="69">
        <f>SUM(L23:L34)</f>
        <v>2793110.0116079999</v>
      </c>
      <c r="M35" s="69">
        <f>SUM(M23:M34)</f>
        <v>804294.08927426953</v>
      </c>
      <c r="N35" s="69">
        <f>SUM(N23:N34)</f>
        <v>168.12778806858589</v>
      </c>
      <c r="O35" s="69">
        <f t="shared" si="7"/>
        <v>3597572.2286703382</v>
      </c>
      <c r="P35" s="69">
        <f>SUM(P23:P34)</f>
        <v>5968613.0566780008</v>
      </c>
      <c r="Q35" s="68">
        <f t="shared" si="8"/>
        <v>60.274844331635535</v>
      </c>
    </row>
    <row r="36" spans="1:17" ht="18.75" customHeight="1" x14ac:dyDescent="0.3">
      <c r="A36" s="72" t="s">
        <v>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</row>
    <row r="37" spans="1:17" x14ac:dyDescent="0.3">
      <c r="A37" s="78" t="s">
        <v>33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3">
      <c r="A38" s="78" t="s">
        <v>34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</row>
    <row r="39" spans="1:17" ht="40.5" customHeight="1" x14ac:dyDescent="0.3">
      <c r="A39" s="75" t="s">
        <v>40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</row>
    <row r="40" spans="1:17" ht="28.9" customHeight="1" x14ac:dyDescent="0.3"/>
    <row r="41" spans="1:17" ht="178.5" customHeight="1" x14ac:dyDescent="0.3">
      <c r="H41" s="70"/>
      <c r="Q41" s="70"/>
    </row>
    <row r="42" spans="1:17" ht="25.5" customHeight="1" x14ac:dyDescent="0.3"/>
    <row r="43" spans="1:17" ht="25.5" customHeight="1" x14ac:dyDescent="0.3">
      <c r="H43" s="70"/>
      <c r="Q43" s="70"/>
    </row>
    <row r="44" spans="1:17" ht="25.5" customHeight="1" x14ac:dyDescent="0.3"/>
    <row r="45" spans="1:17" ht="25.5" customHeight="1" x14ac:dyDescent="0.3">
      <c r="H45" s="70"/>
      <c r="Q45" s="70"/>
    </row>
    <row r="46" spans="1:17" ht="25.5" customHeight="1" x14ac:dyDescent="0.3"/>
    <row r="47" spans="1:17" ht="25.5" customHeight="1" x14ac:dyDescent="0.3">
      <c r="H47" s="70"/>
      <c r="Q47" s="70"/>
    </row>
    <row r="48" spans="1:17" ht="25.5" customHeight="1" x14ac:dyDescent="0.3"/>
    <row r="49" spans="8:17" ht="25.5" customHeight="1" x14ac:dyDescent="0.3">
      <c r="H49" s="70"/>
      <c r="Q49" s="70"/>
    </row>
    <row r="50" spans="8:17" ht="25.5" customHeight="1" x14ac:dyDescent="0.3"/>
    <row r="51" spans="8:17" ht="25.5" customHeight="1" x14ac:dyDescent="0.3">
      <c r="H51" s="70"/>
      <c r="Q51" s="70"/>
    </row>
    <row r="52" spans="8:17" ht="25.5" customHeight="1" x14ac:dyDescent="0.3"/>
    <row r="53" spans="8:17" ht="25.5" customHeight="1" x14ac:dyDescent="0.3">
      <c r="H53" s="70"/>
      <c r="Q53" s="70"/>
    </row>
    <row r="54" spans="8:17" ht="25.5" customHeight="1" x14ac:dyDescent="0.3"/>
    <row r="55" spans="8:17" ht="22.5" customHeight="1" x14ac:dyDescent="0.3">
      <c r="H55" s="70"/>
      <c r="Q55" s="70"/>
    </row>
    <row r="56" spans="8:17" ht="22.5" customHeight="1" x14ac:dyDescent="0.3"/>
    <row r="57" spans="8:17" ht="22.5" customHeight="1" x14ac:dyDescent="0.3">
      <c r="H57" s="70"/>
      <c r="Q57" s="70"/>
    </row>
    <row r="58" spans="8:17" ht="47.25" customHeight="1" x14ac:dyDescent="0.3">
      <c r="H58" s="70"/>
      <c r="Q58" s="70"/>
    </row>
    <row r="59" spans="8:17" ht="28.9" customHeight="1" x14ac:dyDescent="0.3">
      <c r="H59" s="70"/>
      <c r="Q59" s="70"/>
    </row>
    <row r="60" spans="8:17" ht="164.25" customHeight="1" x14ac:dyDescent="0.3">
      <c r="H60" s="70"/>
      <c r="Q60" s="70"/>
    </row>
    <row r="61" spans="8:17" ht="24.75" customHeight="1" x14ac:dyDescent="0.3">
      <c r="H61" s="70"/>
      <c r="Q61" s="70"/>
    </row>
    <row r="62" spans="8:17" ht="24.75" customHeight="1" x14ac:dyDescent="0.3">
      <c r="H62" s="70"/>
      <c r="Q62" s="70"/>
    </row>
    <row r="63" spans="8:17" ht="24.75" customHeight="1" x14ac:dyDescent="0.3">
      <c r="H63" s="70"/>
      <c r="Q63" s="70"/>
    </row>
    <row r="64" spans="8:17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83" spans="8:17" x14ac:dyDescent="0.3">
      <c r="H83" s="70"/>
      <c r="Q83" s="70"/>
    </row>
    <row r="86" spans="8:17" x14ac:dyDescent="0.3">
      <c r="H86" s="70"/>
      <c r="Q86" s="70"/>
    </row>
    <row r="88" spans="8:17" x14ac:dyDescent="0.3">
      <c r="H88" s="70"/>
      <c r="Q88" s="70"/>
    </row>
    <row r="90" spans="8:17" x14ac:dyDescent="0.3">
      <c r="H90" s="70"/>
      <c r="Q90" s="70"/>
    </row>
    <row r="92" spans="8:17" x14ac:dyDescent="0.3">
      <c r="H92" s="70"/>
      <c r="Q92" s="70"/>
    </row>
    <row r="94" spans="8:17" x14ac:dyDescent="0.3">
      <c r="H94" s="70"/>
      <c r="Q94" s="70"/>
    </row>
    <row r="96" spans="8:17" x14ac:dyDescent="0.3">
      <c r="H96" s="70"/>
      <c r="Q96" s="70"/>
    </row>
    <row r="98" spans="8:17" x14ac:dyDescent="0.3">
      <c r="H98" s="70"/>
      <c r="Q98" s="70"/>
    </row>
    <row r="100" spans="8:17" x14ac:dyDescent="0.3">
      <c r="H100" s="70"/>
      <c r="Q100" s="70"/>
    </row>
    <row r="102" spans="8:17" x14ac:dyDescent="0.3">
      <c r="H102" s="70"/>
      <c r="Q102" s="70"/>
    </row>
    <row r="103" spans="8:17" x14ac:dyDescent="0.3">
      <c r="Q103" s="70"/>
    </row>
    <row r="104" spans="8:17" x14ac:dyDescent="0.3">
      <c r="H104" s="70"/>
      <c r="Q104" s="70"/>
    </row>
    <row r="105" spans="8:17" x14ac:dyDescent="0.3">
      <c r="H105" s="70"/>
      <c r="Q105" s="70"/>
    </row>
    <row r="106" spans="8:17" x14ac:dyDescent="0.3">
      <c r="H106" s="70"/>
      <c r="Q106" s="70"/>
    </row>
    <row r="107" spans="8:17" x14ac:dyDescent="0.3">
      <c r="H107" s="70"/>
      <c r="Q107" s="70"/>
    </row>
    <row r="108" spans="8:17" x14ac:dyDescent="0.3">
      <c r="H108" s="70"/>
      <c r="Q108" s="70"/>
    </row>
    <row r="131" spans="8:17" x14ac:dyDescent="0.3">
      <c r="H131" s="70"/>
      <c r="Q131" s="70"/>
    </row>
    <row r="134" spans="8:17" x14ac:dyDescent="0.3">
      <c r="H134" s="70"/>
      <c r="Q134" s="70"/>
    </row>
    <row r="136" spans="8:17" x14ac:dyDescent="0.3">
      <c r="H136" s="70"/>
      <c r="Q136" s="70"/>
    </row>
    <row r="138" spans="8:17" x14ac:dyDescent="0.3">
      <c r="H138" s="70"/>
      <c r="Q138" s="70"/>
    </row>
    <row r="140" spans="8:17" x14ac:dyDescent="0.3">
      <c r="H140" s="70"/>
      <c r="Q140" s="70"/>
    </row>
    <row r="142" spans="8:17" x14ac:dyDescent="0.3">
      <c r="H142" s="70"/>
      <c r="Q142" s="70"/>
    </row>
    <row r="144" spans="8:17" x14ac:dyDescent="0.3">
      <c r="H144" s="70"/>
      <c r="Q144" s="70"/>
    </row>
    <row r="146" spans="8:17" x14ac:dyDescent="0.3">
      <c r="H146" s="70"/>
      <c r="Q146" s="70"/>
    </row>
    <row r="148" spans="8:17" x14ac:dyDescent="0.3">
      <c r="H148" s="70"/>
      <c r="Q148" s="70"/>
    </row>
    <row r="150" spans="8:17" x14ac:dyDescent="0.3">
      <c r="H150" s="70"/>
      <c r="Q150" s="70"/>
    </row>
    <row r="152" spans="8:17" x14ac:dyDescent="0.3">
      <c r="H152" s="70"/>
      <c r="Q152" s="70"/>
    </row>
    <row r="154" spans="8:17" x14ac:dyDescent="0.3">
      <c r="H154" s="70"/>
      <c r="Q154" s="70"/>
    </row>
    <row r="156" spans="8:17" x14ac:dyDescent="0.3">
      <c r="H156" s="70"/>
      <c r="Q156" s="70"/>
    </row>
    <row r="179" spans="8:17" x14ac:dyDescent="0.3">
      <c r="H179" s="70"/>
      <c r="Q179" s="70"/>
    </row>
    <row r="181" spans="8:17" x14ac:dyDescent="0.3">
      <c r="H181" s="70"/>
      <c r="Q181" s="70"/>
    </row>
    <row r="182" spans="8:17" x14ac:dyDescent="0.3">
      <c r="H182" s="70"/>
      <c r="Q182" s="70"/>
    </row>
    <row r="183" spans="8:17" x14ac:dyDescent="0.3">
      <c r="H183" s="70"/>
      <c r="Q183" s="70"/>
    </row>
    <row r="184" spans="8:17" x14ac:dyDescent="0.3">
      <c r="H184" s="70"/>
      <c r="Q184" s="70"/>
    </row>
    <row r="185" spans="8:17" x14ac:dyDescent="0.3">
      <c r="H185" s="70"/>
      <c r="Q185" s="70"/>
    </row>
    <row r="186" spans="8:17" x14ac:dyDescent="0.3">
      <c r="H186" s="70"/>
      <c r="Q186" s="70"/>
    </row>
    <row r="187" spans="8:17" x14ac:dyDescent="0.3">
      <c r="H187" s="70"/>
      <c r="Q187" s="70"/>
    </row>
    <row r="188" spans="8:17" x14ac:dyDescent="0.3">
      <c r="H188" s="70"/>
      <c r="Q188" s="70"/>
    </row>
    <row r="189" spans="8:17" x14ac:dyDescent="0.3">
      <c r="H189" s="70"/>
      <c r="Q189" s="70"/>
    </row>
    <row r="190" spans="8:17" x14ac:dyDescent="0.3">
      <c r="H190" s="70"/>
      <c r="Q190" s="70"/>
    </row>
    <row r="191" spans="8:17" x14ac:dyDescent="0.3">
      <c r="H191" s="70"/>
      <c r="Q191" s="70"/>
    </row>
    <row r="192" spans="8:17" x14ac:dyDescent="0.3">
      <c r="H192" s="70"/>
      <c r="Q192" s="70"/>
    </row>
    <row r="193" spans="8:17" x14ac:dyDescent="0.3">
      <c r="H193" s="70"/>
      <c r="Q193" s="70"/>
    </row>
    <row r="194" spans="8:17" x14ac:dyDescent="0.3">
      <c r="H194" s="70"/>
      <c r="Q194" s="70"/>
    </row>
    <row r="195" spans="8:17" x14ac:dyDescent="0.3">
      <c r="H195" s="70"/>
      <c r="Q195" s="70"/>
    </row>
    <row r="196" spans="8:17" x14ac:dyDescent="0.3">
      <c r="H196" s="70"/>
      <c r="Q196" s="70"/>
    </row>
    <row r="197" spans="8:17" x14ac:dyDescent="0.3">
      <c r="H197" s="70"/>
      <c r="Q197" s="70"/>
    </row>
    <row r="198" spans="8:17" x14ac:dyDescent="0.3">
      <c r="H198" s="70"/>
      <c r="Q198" s="70"/>
    </row>
    <row r="199" spans="8:17" x14ac:dyDescent="0.3">
      <c r="H199" s="70"/>
      <c r="Q199" s="70"/>
    </row>
    <row r="200" spans="8:17" x14ac:dyDescent="0.3">
      <c r="H200" s="70"/>
      <c r="Q200" s="70"/>
    </row>
    <row r="201" spans="8:17" x14ac:dyDescent="0.3">
      <c r="H201" s="70"/>
      <c r="Q201" s="70"/>
    </row>
    <row r="202" spans="8:17" x14ac:dyDescent="0.3">
      <c r="H202" s="70"/>
      <c r="Q202" s="70"/>
    </row>
    <row r="203" spans="8:17" x14ac:dyDescent="0.3">
      <c r="H203" s="70"/>
      <c r="Q203" s="70"/>
    </row>
    <row r="204" spans="8:17" x14ac:dyDescent="0.3">
      <c r="H204" s="70"/>
      <c r="Q204" s="70"/>
    </row>
    <row r="227" spans="8:17" x14ac:dyDescent="0.3">
      <c r="H227" s="70"/>
      <c r="Q227" s="70"/>
    </row>
    <row r="230" spans="8:17" x14ac:dyDescent="0.3">
      <c r="H230" s="70"/>
      <c r="Q230" s="70"/>
    </row>
    <row r="232" spans="8:17" x14ac:dyDescent="0.3">
      <c r="H232" s="70"/>
      <c r="Q232" s="70"/>
    </row>
    <row r="233" spans="8:17" x14ac:dyDescent="0.3">
      <c r="H233" s="70"/>
    </row>
    <row r="234" spans="8:17" x14ac:dyDescent="0.3">
      <c r="H234" s="70"/>
      <c r="Q234" s="70"/>
    </row>
    <row r="236" spans="8:17" x14ac:dyDescent="0.3">
      <c r="H236" s="70"/>
      <c r="Q236" s="70"/>
    </row>
    <row r="238" spans="8:17" x14ac:dyDescent="0.3">
      <c r="H238" s="70"/>
      <c r="Q238" s="70"/>
    </row>
    <row r="240" spans="8:17" x14ac:dyDescent="0.3">
      <c r="H240" s="70"/>
      <c r="Q240" s="70"/>
    </row>
    <row r="242" spans="8:17" x14ac:dyDescent="0.3">
      <c r="H242" s="70"/>
      <c r="Q242" s="70"/>
    </row>
    <row r="244" spans="8:17" x14ac:dyDescent="0.3">
      <c r="H244" s="70"/>
      <c r="Q244" s="70"/>
    </row>
    <row r="246" spans="8:17" x14ac:dyDescent="0.3">
      <c r="H246" s="70"/>
      <c r="Q246" s="70"/>
    </row>
    <row r="247" spans="8:17" x14ac:dyDescent="0.3">
      <c r="H247" s="70"/>
      <c r="Q247" s="70"/>
    </row>
    <row r="248" spans="8:17" x14ac:dyDescent="0.3">
      <c r="H248" s="70"/>
      <c r="Q248" s="70"/>
    </row>
    <row r="249" spans="8:17" x14ac:dyDescent="0.3">
      <c r="H249" s="70"/>
      <c r="Q249" s="70"/>
    </row>
    <row r="250" spans="8:17" x14ac:dyDescent="0.3">
      <c r="H250" s="70"/>
      <c r="Q250" s="70"/>
    </row>
    <row r="251" spans="8:17" x14ac:dyDescent="0.3">
      <c r="H251" s="70"/>
      <c r="Q251" s="70"/>
    </row>
    <row r="252" spans="8:17" x14ac:dyDescent="0.3">
      <c r="H252" s="70"/>
      <c r="Q252" s="70"/>
    </row>
    <row r="254" spans="8:17" x14ac:dyDescent="0.3">
      <c r="H254" s="70"/>
    </row>
    <row r="273" spans="8:17" x14ac:dyDescent="0.3">
      <c r="H273" s="70"/>
      <c r="Q273" s="70"/>
    </row>
    <row r="276" spans="8:17" x14ac:dyDescent="0.3">
      <c r="H276" s="70"/>
      <c r="Q276" s="70"/>
    </row>
    <row r="278" spans="8:17" x14ac:dyDescent="0.3">
      <c r="H278" s="70"/>
      <c r="Q278" s="70"/>
    </row>
    <row r="280" spans="8:17" x14ac:dyDescent="0.3">
      <c r="H280" s="70"/>
      <c r="Q280" s="70"/>
    </row>
    <row r="282" spans="8:17" x14ac:dyDescent="0.3">
      <c r="H282" s="70"/>
      <c r="Q282" s="70"/>
    </row>
    <row r="284" spans="8:17" x14ac:dyDescent="0.3">
      <c r="H284" s="70"/>
      <c r="Q284" s="70"/>
    </row>
    <row r="286" spans="8:17" x14ac:dyDescent="0.3">
      <c r="H286" s="70"/>
      <c r="Q286" s="70"/>
    </row>
    <row r="288" spans="8:17" x14ac:dyDescent="0.3">
      <c r="H288" s="70"/>
      <c r="Q288" s="70"/>
    </row>
    <row r="290" spans="8:17" x14ac:dyDescent="0.3">
      <c r="H290" s="70"/>
      <c r="Q290" s="70"/>
    </row>
    <row r="292" spans="8:17" x14ac:dyDescent="0.3">
      <c r="H292" s="70"/>
      <c r="Q292" s="70"/>
    </row>
    <row r="294" spans="8:17" x14ac:dyDescent="0.3">
      <c r="H294" s="70"/>
      <c r="Q294" s="70"/>
    </row>
    <row r="296" spans="8:17" x14ac:dyDescent="0.3">
      <c r="H296" s="70"/>
      <c r="Q296" s="70"/>
    </row>
    <row r="298" spans="8:17" x14ac:dyDescent="0.3">
      <c r="H298" s="70"/>
      <c r="Q298" s="70"/>
    </row>
    <row r="324" spans="8:17" x14ac:dyDescent="0.3">
      <c r="Q324" s="70"/>
    </row>
    <row r="326" spans="8:17" x14ac:dyDescent="0.3">
      <c r="H326" s="70"/>
      <c r="Q326" s="70"/>
    </row>
    <row r="328" spans="8:17" x14ac:dyDescent="0.3">
      <c r="H328" s="70"/>
    </row>
    <row r="330" spans="8:17" x14ac:dyDescent="0.3">
      <c r="H330" s="70"/>
      <c r="Q330" s="70"/>
    </row>
    <row r="358" spans="8:17" x14ac:dyDescent="0.3">
      <c r="H358" s="70"/>
    </row>
    <row r="360" spans="8:17" x14ac:dyDescent="0.3">
      <c r="Q360" s="70"/>
    </row>
    <row r="361" spans="8:17" x14ac:dyDescent="0.3">
      <c r="Q361" s="70"/>
    </row>
    <row r="362" spans="8:17" x14ac:dyDescent="0.3">
      <c r="Q362" s="70"/>
    </row>
    <row r="363" spans="8:17" x14ac:dyDescent="0.3">
      <c r="Q363" s="70"/>
    </row>
    <row r="364" spans="8:17" x14ac:dyDescent="0.3">
      <c r="H364" s="70"/>
      <c r="Q364" s="70"/>
    </row>
    <row r="366" spans="8:17" x14ac:dyDescent="0.3">
      <c r="H366" s="70"/>
      <c r="Q366" s="70"/>
    </row>
    <row r="369" spans="17:17" x14ac:dyDescent="0.3">
      <c r="Q369" s="70"/>
    </row>
    <row r="393" spans="8:17" x14ac:dyDescent="0.3">
      <c r="Q393" s="70"/>
    </row>
    <row r="394" spans="8:17" x14ac:dyDescent="0.3">
      <c r="H394" s="70"/>
      <c r="Q394" s="70"/>
    </row>
    <row r="395" spans="8:17" x14ac:dyDescent="0.3">
      <c r="H395" s="70"/>
      <c r="Q395" s="70"/>
    </row>
    <row r="396" spans="8:17" x14ac:dyDescent="0.3">
      <c r="H396" s="70"/>
      <c r="Q396" s="70"/>
    </row>
    <row r="397" spans="8:17" x14ac:dyDescent="0.3">
      <c r="H397" s="70"/>
      <c r="Q397" s="70"/>
    </row>
    <row r="398" spans="8:17" x14ac:dyDescent="0.3">
      <c r="H398" s="70"/>
      <c r="Q398" s="70"/>
    </row>
    <row r="399" spans="8:17" x14ac:dyDescent="0.3">
      <c r="H399" s="70"/>
      <c r="Q399" s="70"/>
    </row>
    <row r="401" spans="8:17" x14ac:dyDescent="0.3">
      <c r="H401" s="70"/>
      <c r="Q401" s="70"/>
    </row>
    <row r="455" spans="13:13" x14ac:dyDescent="0.3">
      <c r="M455" s="71"/>
    </row>
    <row r="456" spans="13:13" x14ac:dyDescent="0.3">
      <c r="M456" s="1" t="s">
        <v>35</v>
      </c>
    </row>
  </sheetData>
  <mergeCells count="33">
    <mergeCell ref="Q2:Q3"/>
    <mergeCell ref="Q21:Q22"/>
    <mergeCell ref="A18:Q18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A36:Q36"/>
    <mergeCell ref="A17:Q17"/>
    <mergeCell ref="A39:Q39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1" manualBreakCount="1">
    <brk id="19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Monthly_Template</vt:lpstr>
      <vt:lpstr>Sheet1</vt:lpstr>
      <vt:lpstr>Monthly_Template!\x</vt:lpstr>
      <vt:lpstr>Monthly_Template!Print_Area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2022-03-31T12:07:35Z</cp:lastPrinted>
  <dcterms:created xsi:type="dcterms:W3CDTF">2021-03-02T10:01:37Z</dcterms:created>
  <dcterms:modified xsi:type="dcterms:W3CDTF">2022-05-27T06:03:24Z</dcterms:modified>
</cp:coreProperties>
</file>