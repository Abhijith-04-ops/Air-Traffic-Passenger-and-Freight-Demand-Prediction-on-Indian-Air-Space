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3\Excel December 2023\"/>
    </mc:Choice>
  </mc:AlternateContent>
  <bookViews>
    <workbookView xWindow="0" yWindow="0" windowWidth="20490" windowHeight="9045"/>
  </bookViews>
  <sheets>
    <sheet name="Monthly_Template" sheetId="2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Monthly_Template!$C$134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2" l="1"/>
  <c r="K8" i="2" l="1"/>
  <c r="K7" i="2" l="1"/>
  <c r="D35" i="2" l="1"/>
  <c r="C35" i="2"/>
  <c r="P35" i="2"/>
  <c r="N35" i="2"/>
  <c r="M35" i="2"/>
  <c r="L35" i="2"/>
  <c r="J35" i="2"/>
  <c r="I35" i="2"/>
  <c r="G35" i="2"/>
  <c r="F35" i="2"/>
  <c r="E35" i="2"/>
  <c r="B35" i="2"/>
  <c r="H35" i="2" l="1"/>
  <c r="K35" i="2"/>
  <c r="O35" i="2"/>
  <c r="Q35" i="2" s="1"/>
  <c r="K34" i="2"/>
  <c r="K33" i="2"/>
  <c r="K32" i="2"/>
  <c r="K31" i="2"/>
  <c r="K30" i="2"/>
  <c r="K29" i="2"/>
  <c r="K28" i="2"/>
  <c r="K27" i="2"/>
  <c r="K26" i="2"/>
  <c r="K25" i="2"/>
  <c r="K24" i="2"/>
  <c r="H34" i="2" l="1"/>
  <c r="O34" i="2"/>
  <c r="Q34" i="2" s="1"/>
  <c r="H15" i="2"/>
  <c r="K15" i="2"/>
  <c r="O15" i="2"/>
  <c r="Q15" i="2" s="1"/>
  <c r="H14" i="2" l="1"/>
  <c r="K14" i="2"/>
  <c r="O14" i="2"/>
  <c r="Q14" i="2" s="1"/>
  <c r="O33" i="2"/>
  <c r="Q33" i="2" s="1"/>
  <c r="O32" i="2" l="1"/>
  <c r="Q32" i="2" s="1"/>
  <c r="O31" i="2"/>
  <c r="Q31" i="2" s="1"/>
  <c r="H32" i="2"/>
  <c r="O13" i="2"/>
  <c r="Q13" i="2" s="1"/>
  <c r="O12" i="2"/>
  <c r="O11" i="2"/>
  <c r="O10" i="2"/>
  <c r="O9" i="2"/>
  <c r="O8" i="2"/>
  <c r="O7" i="2"/>
  <c r="K12" i="2"/>
  <c r="K13" i="2"/>
  <c r="H13" i="2"/>
  <c r="H31" i="2" l="1"/>
  <c r="Q12" i="2"/>
  <c r="H12" i="2"/>
  <c r="H30" i="2" l="1"/>
  <c r="O30" i="2" l="1"/>
  <c r="Q30" i="2" s="1"/>
  <c r="Q11" i="2"/>
  <c r="K11" i="2"/>
  <c r="H11" i="2"/>
  <c r="O29" i="2" l="1"/>
  <c r="Q29" i="2" s="1"/>
  <c r="H29" i="2"/>
  <c r="Q10" i="2"/>
  <c r="K10" i="2"/>
  <c r="H10" i="2"/>
  <c r="O28" i="2" l="1"/>
  <c r="Q28" i="2" s="1"/>
  <c r="H28" i="2"/>
  <c r="Q9" i="2"/>
  <c r="K9" i="2"/>
  <c r="H9" i="2"/>
  <c r="O27" i="2" l="1"/>
  <c r="Q27" i="2" l="1"/>
  <c r="H27" i="2"/>
  <c r="Q8" i="2" l="1"/>
  <c r="H8" i="2"/>
  <c r="O26" i="2" l="1"/>
  <c r="Q26" i="2" s="1"/>
  <c r="H26" i="2"/>
  <c r="Q7" i="2"/>
  <c r="H7" i="2"/>
  <c r="O25" i="2" l="1"/>
  <c r="Q25" i="2" s="1"/>
  <c r="H25" i="2"/>
  <c r="O6" i="2"/>
  <c r="Q6" i="2" s="1"/>
  <c r="K6" i="2"/>
  <c r="H6" i="2"/>
  <c r="O24" i="2" l="1"/>
  <c r="Q24" i="2" s="1"/>
  <c r="H24" i="2"/>
  <c r="O5" i="2"/>
  <c r="Q5" i="2" s="1"/>
  <c r="K5" i="2"/>
  <c r="H5" i="2"/>
  <c r="H4" i="2" l="1"/>
  <c r="K4" i="2"/>
  <c r="O4" i="2"/>
  <c r="Q4" i="2" s="1"/>
  <c r="B16" i="2"/>
  <c r="C16" i="2"/>
  <c r="D16" i="2"/>
  <c r="E16" i="2"/>
  <c r="F16" i="2"/>
  <c r="G16" i="2"/>
  <c r="I16" i="2"/>
  <c r="J16" i="2"/>
  <c r="L16" i="2"/>
  <c r="M16" i="2"/>
  <c r="N16" i="2"/>
  <c r="P16" i="2"/>
  <c r="H23" i="2"/>
  <c r="K23" i="2"/>
  <c r="O23" i="2"/>
  <c r="Q23" i="2" s="1"/>
  <c r="O16" i="2" l="1"/>
  <c r="Q16" i="2" s="1"/>
  <c r="K16" i="2"/>
  <c r="H16" i="2"/>
</calcChain>
</file>

<file path=xl/sharedStrings.xml><?xml version="1.0" encoding="utf-8"?>
<sst xmlns="http://schemas.openxmlformats.org/spreadsheetml/2006/main" count="76" uniqueCount="40">
  <si>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</si>
  <si>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</si>
  <si>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</si>
  <si>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</si>
  <si>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</si>
  <si>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</si>
  <si>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</si>
  <si>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</si>
  <si>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</si>
  <si>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</si>
  <si>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</si>
  <si>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</si>
  <si>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</si>
  <si>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</si>
  <si>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</si>
  <si>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</si>
  <si>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</si>
  <si>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</si>
  <si>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</si>
  <si>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</si>
  <si>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</si>
  <si>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</si>
  <si>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</si>
  <si>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</si>
  <si>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</si>
  <si>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</si>
  <si>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</si>
  <si>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</si>
  <si>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</si>
  <si>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</si>
  <si>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</si>
  <si>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</si>
  <si>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</si>
  <si>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</si>
  <si>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</si>
  <si>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</si>
  <si>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 xml:space="preserve">SOURCE:-ICAO ATR FORM A FURNISHED BY </t>
  </si>
  <si>
    <t xml:space="preserve"> </t>
  </si>
  <si>
    <t>Monthly Traffic And Operating Statistics of Indian Carriers During 2023 (Provisional)
 ( Scheduled Domestic Services)</t>
  </si>
  <si>
    <t>Monthly Traffic And Operating Statistics of Indian Carriers During 2023 (Provisional)
 (Non- Scheduled Domestic Services)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</si>
</sst>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0.0"/>
  </numFmts>
  <fonts count="13" x14ac:knownFonts="1">
    <font>
      <sz val="11"/>
      <color theme="1"/>
      <name val="Calibri"/>
      <family val="2"/>
      <charset val="1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1"/>
      <name val="Calibri Light"/>
      <family val="1"/>
      <scheme val="major"/>
    </font>
    <font>
      <sz val="12"/>
      <color theme="1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3" fillId="6" borderId="0" xfId="1" applyFont="1" applyFill="1" applyBorder="1" applyAlignment="1" applyProtection="1">
      <alignment horizontal="center" vertical="center" wrapText="1"/>
    </xf>
    <xf numFmtId="3" fontId="3" fillId="6" borderId="9" xfId="1" applyNumberFormat="1" applyFont="1" applyFill="1" applyBorder="1" applyAlignment="1" applyProtection="1">
      <alignment horizontal="center" vertical="center" wrapText="1"/>
    </xf>
    <xf numFmtId="3" fontId="3" fillId="6" borderId="0" xfId="1" applyNumberFormat="1" applyFont="1" applyFill="1" applyBorder="1" applyAlignment="1" applyProtection="1">
      <alignment horizontal="center" vertical="center" wrapText="1"/>
    </xf>
    <xf numFmtId="3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9" xfId="1" applyNumberFormat="1" applyFont="1" applyFill="1" applyBorder="1" applyAlignment="1" applyProtection="1">
      <alignment horizontal="center" vertical="center" wrapText="1"/>
    </xf>
    <xf numFmtId="164" fontId="3" fillId="6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3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8" fillId="5" borderId="3" xfId="1" applyFont="1" applyFill="1" applyBorder="1" applyAlignment="1" applyProtection="1">
      <alignment horizontal="center" vertical="center" wrapText="1"/>
    </xf>
    <xf numFmtId="3" fontId="3" fillId="5" borderId="4" xfId="1" applyNumberFormat="1" applyFont="1" applyFill="1" applyBorder="1" applyAlignment="1" applyProtection="1">
      <alignment horizontal="center" vertical="center" wrapText="1"/>
    </xf>
    <xf numFmtId="164" fontId="3" fillId="5" borderId="4" xfId="1" applyNumberFormat="1" applyFont="1" applyFill="1" applyBorder="1" applyAlignment="1" applyProtection="1">
      <alignment horizontal="center" vertical="center" wrapText="1"/>
    </xf>
    <xf numFmtId="164" fontId="3" fillId="5" borderId="3" xfId="1" applyNumberFormat="1" applyFont="1" applyFill="1" applyBorder="1" applyAlignment="1" applyProtection="1">
      <alignment horizontal="center" vertical="center" wrapText="1"/>
    </xf>
    <xf numFmtId="0" fontId="4" fillId="3" borderId="0" xfId="1" applyFont="1" applyFill="1" applyAlignment="1">
      <alignment vertical="center"/>
    </xf>
    <xf numFmtId="0" fontId="8" fillId="7" borderId="2" xfId="1" applyFont="1" applyFill="1" applyBorder="1" applyAlignment="1" applyProtection="1">
      <alignment horizontal="center" vertical="center" textRotation="90" wrapText="1"/>
    </xf>
    <xf numFmtId="0" fontId="8" fillId="7" borderId="2" xfId="1" quotePrefix="1" applyFont="1" applyFill="1" applyBorder="1" applyAlignment="1" applyProtection="1">
      <alignment horizontal="center" vertical="center" textRotation="90" wrapText="1"/>
    </xf>
    <xf numFmtId="3" fontId="3" fillId="6" borderId="7" xfId="1" applyNumberFormat="1" applyFont="1" applyFill="1" applyBorder="1" applyAlignment="1" applyProtection="1">
      <alignment horizontal="center" vertical="center" wrapText="1"/>
    </xf>
    <xf numFmtId="3" fontId="3" fillId="6" borderId="5" xfId="1" applyNumberFormat="1" applyFont="1" applyFill="1" applyBorder="1" applyAlignment="1" applyProtection="1">
      <alignment horizontal="center" vertical="center" wrapText="1"/>
    </xf>
    <xf numFmtId="3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7" xfId="1" applyNumberFormat="1" applyFont="1" applyFill="1" applyBorder="1" applyAlignment="1" applyProtection="1">
      <alignment horizontal="center" vertical="center" wrapText="1"/>
    </xf>
    <xf numFmtId="164" fontId="3" fillId="6" borderId="5" xfId="1" applyNumberFormat="1" applyFont="1" applyFill="1" applyBorder="1" applyAlignment="1" applyProtection="1">
      <alignment horizontal="center" vertical="center" wrapText="1"/>
    </xf>
    <xf numFmtId="0" fontId="3" fillId="3" borderId="0" xfId="1" applyFont="1" applyFill="1" applyBorder="1" applyAlignment="1" applyProtection="1">
      <alignment horizontal="center" vertical="center" wrapText="1"/>
    </xf>
    <xf numFmtId="3" fontId="10" fillId="3" borderId="9" xfId="1" applyNumberFormat="1" applyFont="1" applyFill="1" applyBorder="1" applyAlignment="1" applyProtection="1">
      <alignment horizontal="center" vertical="center" wrapText="1"/>
    </xf>
    <xf numFmtId="3" fontId="10" fillId="3" borderId="0" xfId="1" applyNumberFormat="1" applyFont="1" applyFill="1" applyBorder="1" applyAlignment="1" applyProtection="1">
      <alignment horizontal="center" vertical="center" wrapText="1"/>
    </xf>
    <xf numFmtId="3" fontId="10" fillId="3" borderId="8" xfId="1" applyNumberFormat="1" applyFont="1" applyFill="1" applyBorder="1" applyAlignment="1" applyProtection="1">
      <alignment horizontal="center" vertical="center" wrapText="1"/>
    </xf>
    <xf numFmtId="164" fontId="3" fillId="3" borderId="8" xfId="1" applyNumberFormat="1" applyFont="1" applyFill="1" applyBorder="1" applyAlignment="1" applyProtection="1">
      <alignment horizontal="center" vertical="center" wrapText="1"/>
    </xf>
    <xf numFmtId="164" fontId="10" fillId="3" borderId="9" xfId="1" applyNumberFormat="1" applyFont="1" applyFill="1" applyBorder="1" applyAlignment="1" applyProtection="1">
      <alignment horizontal="center" vertical="center" wrapText="1"/>
    </xf>
    <xf numFmtId="164" fontId="10" fillId="3" borderId="0" xfId="1" applyNumberFormat="1" applyFont="1" applyFill="1" applyBorder="1" applyAlignment="1" applyProtection="1">
      <alignment horizontal="center" vertical="center" wrapText="1"/>
    </xf>
    <xf numFmtId="3" fontId="10" fillId="6" borderId="9" xfId="1" applyNumberFormat="1" applyFont="1" applyFill="1" applyBorder="1" applyAlignment="1" applyProtection="1">
      <alignment horizontal="center" vertical="center" wrapText="1"/>
    </xf>
    <xf numFmtId="3" fontId="10" fillId="6" borderId="0" xfId="1" applyNumberFormat="1" applyFont="1" applyFill="1" applyBorder="1" applyAlignment="1" applyProtection="1">
      <alignment horizontal="center" vertical="center" wrapText="1"/>
    </xf>
    <xf numFmtId="3" fontId="10" fillId="6" borderId="8" xfId="1" applyNumberFormat="1" applyFont="1" applyFill="1" applyBorder="1" applyAlignment="1" applyProtection="1">
      <alignment horizontal="center" vertical="center" wrapText="1"/>
    </xf>
    <xf numFmtId="164" fontId="10" fillId="6" borderId="9" xfId="1" applyNumberFormat="1" applyFont="1" applyFill="1" applyBorder="1" applyAlignment="1" applyProtection="1">
      <alignment horizontal="center" vertical="center" wrapText="1"/>
    </xf>
    <xf numFmtId="164" fontId="10" fillId="6" borderId="0" xfId="1" applyNumberFormat="1" applyFont="1" applyFill="1" applyBorder="1" applyAlignment="1" applyProtection="1">
      <alignment horizontal="center" vertical="center" wrapText="1"/>
    </xf>
    <xf numFmtId="4" fontId="10" fillId="6" borderId="0" xfId="1" applyNumberFormat="1" applyFont="1" applyFill="1" applyBorder="1" applyAlignment="1" applyProtection="1">
      <alignment horizontal="center" vertical="center" wrapText="1"/>
    </xf>
    <xf numFmtId="3" fontId="3" fillId="3" borderId="9" xfId="1" applyNumberFormat="1" applyFont="1" applyFill="1" applyBorder="1" applyAlignment="1" applyProtection="1">
      <alignment horizontal="center" vertical="center" wrapText="1"/>
    </xf>
    <xf numFmtId="3" fontId="3" fillId="3" borderId="0" xfId="1" applyNumberFormat="1" applyFont="1" applyFill="1" applyBorder="1" applyAlignment="1" applyProtection="1">
      <alignment horizontal="center" vertical="center" wrapText="1"/>
    </xf>
    <xf numFmtId="164" fontId="3" fillId="3" borderId="9" xfId="1" applyNumberFormat="1" applyFont="1" applyFill="1" applyBorder="1" applyAlignment="1" applyProtection="1">
      <alignment horizontal="center" vertical="center" wrapText="1"/>
    </xf>
    <xf numFmtId="164" fontId="3" fillId="3" borderId="0" xfId="1" applyNumberFormat="1" applyFont="1" applyFill="1" applyBorder="1" applyAlignment="1" applyProtection="1">
      <alignment horizontal="center" vertical="center" wrapText="1"/>
    </xf>
    <xf numFmtId="3" fontId="3" fillId="3" borderId="8" xfId="1" applyNumberFormat="1" applyFont="1" applyFill="1" applyBorder="1" applyAlignment="1" applyProtection="1">
      <alignment horizontal="center" vertical="center" wrapText="1"/>
    </xf>
    <xf numFmtId="3" fontId="3" fillId="3" borderId="12" xfId="1" applyNumberFormat="1" applyFont="1" applyFill="1" applyBorder="1" applyAlignment="1" applyProtection="1">
      <alignment horizontal="center" vertical="center" wrapText="1"/>
    </xf>
    <xf numFmtId="3" fontId="3" fillId="3" borderId="1" xfId="1" applyNumberFormat="1" applyFont="1" applyFill="1" applyBorder="1" applyAlignment="1" applyProtection="1">
      <alignment horizontal="center" vertical="center" wrapText="1"/>
    </xf>
    <xf numFmtId="3" fontId="3" fillId="3" borderId="11" xfId="1" applyNumberFormat="1" applyFont="1" applyFill="1" applyBorder="1" applyAlignment="1" applyProtection="1">
      <alignment horizontal="center" vertical="center" wrapText="1"/>
    </xf>
    <xf numFmtId="164" fontId="3" fillId="3" borderId="11" xfId="1" applyNumberFormat="1" applyFont="1" applyFill="1" applyBorder="1" applyAlignment="1" applyProtection="1">
      <alignment horizontal="center" vertical="center" wrapText="1"/>
    </xf>
    <xf numFmtId="164" fontId="3" fillId="3" borderId="12" xfId="1" applyNumberFormat="1" applyFont="1" applyFill="1" applyBorder="1" applyAlignment="1" applyProtection="1">
      <alignment horizontal="center" vertical="center" wrapText="1"/>
    </xf>
    <xf numFmtId="164" fontId="3" fillId="3" borderId="1" xfId="1" applyNumberFormat="1" applyFont="1" applyFill="1" applyBorder="1" applyAlignment="1" applyProtection="1">
      <alignment horizontal="center" vertical="center" wrapText="1"/>
    </xf>
    <xf numFmtId="0" fontId="8" fillId="8" borderId="3" xfId="1" applyFont="1" applyFill="1" applyBorder="1" applyAlignment="1" applyProtection="1">
      <alignment horizontal="center" vertical="center" wrapText="1"/>
    </xf>
    <xf numFmtId="165" fontId="4" fillId="3" borderId="0" xfId="1" applyNumberFormat="1" applyFont="1" applyFill="1" applyProtection="1"/>
    <xf numFmtId="0" fontId="4" fillId="3" borderId="0" xfId="1" applyFont="1" applyFill="1" applyAlignment="1" applyProtection="1">
      <alignment horizontal="left"/>
    </xf>
    <xf numFmtId="3" fontId="11" fillId="2" borderId="7" xfId="1" applyNumberFormat="1" applyFont="1" applyFill="1" applyBorder="1" applyAlignment="1" applyProtection="1">
      <alignment horizontal="center" vertical="center" wrapText="1"/>
    </xf>
    <xf numFmtId="3" fontId="11" fillId="2" borderId="5" xfId="1" applyNumberFormat="1" applyFont="1" applyFill="1" applyBorder="1" applyAlignment="1" applyProtection="1">
      <alignment horizontal="center" vertical="center" wrapText="1"/>
    </xf>
    <xf numFmtId="3" fontId="11" fillId="3" borderId="9" xfId="1" applyNumberFormat="1" applyFont="1" applyFill="1" applyBorder="1" applyAlignment="1" applyProtection="1">
      <alignment horizontal="center" vertical="center" wrapText="1"/>
    </xf>
    <xf numFmtId="3" fontId="11" fillId="3" borderId="0" xfId="1" applyNumberFormat="1" applyFont="1" applyFill="1" applyBorder="1" applyAlignment="1" applyProtection="1">
      <alignment horizontal="center" vertical="center" wrapText="1"/>
    </xf>
    <xf numFmtId="164" fontId="11" fillId="2" borderId="7" xfId="1" applyNumberFormat="1" applyFont="1" applyFill="1" applyBorder="1" applyAlignment="1" applyProtection="1">
      <alignment horizontal="center" vertical="center" wrapText="1"/>
    </xf>
    <xf numFmtId="164" fontId="11" fillId="2" borderId="5" xfId="1" applyNumberFormat="1" applyFont="1" applyFill="1" applyBorder="1" applyAlignment="1" applyProtection="1">
      <alignment horizontal="center" vertical="center" wrapText="1"/>
    </xf>
    <xf numFmtId="164" fontId="11" fillId="3" borderId="9" xfId="1" applyNumberFormat="1" applyFont="1" applyFill="1" applyBorder="1" applyAlignment="1" applyProtection="1">
      <alignment horizontal="center" vertical="center" wrapText="1"/>
    </xf>
    <xf numFmtId="164" fontId="11" fillId="3" borderId="0" xfId="1" applyNumberFormat="1" applyFont="1" applyFill="1" applyBorder="1" applyAlignment="1" applyProtection="1">
      <alignment horizontal="center" vertical="center" wrapText="1"/>
    </xf>
    <xf numFmtId="164" fontId="6" fillId="4" borderId="3" xfId="1" applyNumberFormat="1" applyFont="1" applyFill="1" applyBorder="1" applyAlignment="1" applyProtection="1">
      <alignment horizontal="center" vertical="center" textRotation="90" wrapText="1"/>
    </xf>
    <xf numFmtId="164" fontId="8" fillId="7" borderId="2" xfId="1" applyNumberFormat="1" applyFont="1" applyFill="1" applyBorder="1" applyAlignment="1" applyProtection="1">
      <alignment horizontal="center" vertical="center" textRotation="90" wrapText="1"/>
    </xf>
    <xf numFmtId="164" fontId="4" fillId="3" borderId="0" xfId="1" applyNumberFormat="1" applyFont="1" applyFill="1"/>
    <xf numFmtId="166" fontId="0" fillId="0" borderId="0" xfId="0" applyNumberFormat="1" applyFont="1" applyAlignment="1">
      <alignment horizontal="center"/>
    </xf>
    <xf numFmtId="0" fontId="12" fillId="8" borderId="3" xfId="1" applyFont="1" applyFill="1" applyBorder="1" applyAlignment="1" applyProtection="1">
      <alignment horizontal="center" vertical="center" wrapText="1"/>
    </xf>
    <xf numFmtId="0" fontId="8" fillId="3" borderId="15" xfId="1" applyFont="1" applyFill="1" applyBorder="1" applyAlignment="1">
      <alignment horizontal="left" vertical="center"/>
    </xf>
    <xf numFmtId="0" fontId="8" fillId="3" borderId="13" xfId="1" applyFont="1" applyFill="1" applyBorder="1" applyAlignment="1">
      <alignment horizontal="left" vertical="center"/>
    </xf>
    <xf numFmtId="0" fontId="8" fillId="3" borderId="14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5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10" xfId="1" applyFont="1" applyFill="1" applyBorder="1" applyAlignment="1" applyProtection="1">
      <alignment horizontal="center" vertical="center" wrapText="1"/>
    </xf>
    <xf numFmtId="0" fontId="6" fillId="4" borderId="15" xfId="1" applyFont="1" applyFill="1" applyBorder="1" applyAlignment="1" applyProtection="1">
      <alignment horizontal="center" vertical="center" wrapText="1"/>
    </xf>
    <xf numFmtId="0" fontId="6" fillId="4" borderId="13" xfId="1" applyFont="1" applyFill="1" applyBorder="1" applyAlignment="1" applyProtection="1">
      <alignment horizontal="center" vertical="center" wrapText="1"/>
    </xf>
    <xf numFmtId="0" fontId="6" fillId="4" borderId="14" xfId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textRotation="90" wrapText="1"/>
    </xf>
    <xf numFmtId="0" fontId="6" fillId="4" borderId="10" xfId="1" applyFont="1" applyFill="1" applyBorder="1" applyAlignment="1" applyProtection="1">
      <alignment horizontal="center" vertical="center" textRotation="90" wrapText="1"/>
    </xf>
    <xf numFmtId="0" fontId="8" fillId="3" borderId="15" xfId="1" applyFont="1" applyFill="1" applyBorder="1" applyAlignment="1" applyProtection="1">
      <alignment horizontal="left" vertical="center" wrapText="1"/>
    </xf>
    <xf numFmtId="0" fontId="8" fillId="3" borderId="13" xfId="1" applyFont="1" applyFill="1" applyBorder="1" applyAlignment="1" applyProtection="1">
      <alignment horizontal="left" vertical="center" wrapText="1"/>
    </xf>
    <xf numFmtId="0" fontId="8" fillId="3" borderId="14" xfId="1" applyFont="1" applyFill="1" applyBorder="1" applyAlignment="1" applyProtection="1">
      <alignment horizontal="left" vertical="center" wrapText="1"/>
    </xf>
    <xf numFmtId="49" fontId="2" fillId="6" borderId="13" xfId="1" applyNumberFormat="1" applyFont="1" applyFill="1" applyBorder="1" applyAlignment="1" applyProtection="1">
      <alignment horizontal="center" vertical="center" wrapText="1"/>
    </xf>
    <xf numFmtId="3" fontId="9" fillId="6" borderId="13" xfId="1" applyNumberFormat="1" applyFont="1" applyFill="1" applyBorder="1" applyAlignment="1" applyProtection="1">
      <alignment horizontal="center" vertical="center" wrapText="1"/>
    </xf>
    <xf numFmtId="3" fontId="2" fillId="6" borderId="13" xfId="1" applyNumberFormat="1" applyFont="1" applyFill="1" applyBorder="1" applyAlignment="1" applyProtection="1">
      <alignment horizontal="center" vertical="center" wrapText="1"/>
    </xf>
    <xf numFmtId="0" fontId="8" fillId="7" borderId="2" xfId="1" applyFont="1" applyFill="1" applyBorder="1" applyAlignment="1" applyProtection="1">
      <alignment horizontal="center" vertical="center" wrapText="1"/>
    </xf>
    <xf numFmtId="0" fontId="8" fillId="7" borderId="10" xfId="1" applyFont="1" applyFill="1" applyBorder="1" applyAlignment="1" applyProtection="1">
      <alignment horizontal="center" vertical="center" wrapText="1"/>
    </xf>
    <xf numFmtId="0" fontId="8" fillId="7" borderId="15" xfId="1" applyFont="1" applyFill="1" applyBorder="1" applyAlignment="1" applyProtection="1">
      <alignment horizontal="center" vertical="center" wrapText="1"/>
    </xf>
    <xf numFmtId="0" fontId="8" fillId="7" borderId="13" xfId="1" applyFont="1" applyFill="1" applyBorder="1" applyAlignment="1" applyProtection="1">
      <alignment horizontal="center" vertical="center" wrapText="1"/>
    </xf>
    <xf numFmtId="0" fontId="8" fillId="7" borderId="14" xfId="1" applyFont="1" applyFill="1" applyBorder="1" applyAlignment="1" applyProtection="1">
      <alignment horizontal="center" vertical="center" wrapText="1"/>
    </xf>
    <xf numFmtId="0" fontId="8" fillId="7" borderId="2" xfId="1" applyFont="1" applyFill="1" applyBorder="1" applyAlignment="1" applyProtection="1">
      <alignment horizontal="center" vertical="center" textRotation="90" wrapText="1"/>
    </xf>
    <xf numFmtId="0" fontId="8" fillId="7" borderId="10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4" transitionEvaluation="1" transitionEntry="1" codeName="Sheet12"/>
  <dimension ref="A1:Q456"/>
  <sheetViews>
    <sheetView showGridLines="0" tabSelected="1" view="pageBreakPreview" topLeftCell="A24" zoomScale="98" zoomScaleNormal="85" zoomScaleSheetLayoutView="98" workbookViewId="0">
      <selection activeCell="A34" sqref="A34"/>
    </sheetView>
  </sheetViews>
  <sheetFormatPr defaultColWidth="9.7109375" defaultRowHeight="18.75" x14ac:dyDescent="0.3"/>
  <cols>
    <col min="1" max="1" width="10.42578125" style="8" customWidth="1"/>
    <col min="2" max="3" width="10.28515625" style="8" customWidth="1"/>
    <col min="4" max="4" width="10.85546875" style="8" customWidth="1"/>
    <col min="5" max="5" width="16.140625" style="8" customWidth="1"/>
    <col min="6" max="6" width="14.5703125" style="8" customWidth="1"/>
    <col min="7" max="7" width="16.28515625" style="8" customWidth="1"/>
    <col min="8" max="8" width="6.7109375" style="8" customWidth="1"/>
    <col min="9" max="9" width="11.28515625" style="8" bestFit="1" customWidth="1"/>
    <col min="10" max="10" width="12" style="8" customWidth="1"/>
    <col min="11" max="11" width="11.28515625" style="8" bestFit="1" customWidth="1"/>
    <col min="12" max="12" width="13.42578125" style="87" customWidth="1"/>
    <col min="13" max="13" width="12.28515625" style="8" customWidth="1"/>
    <col min="14" max="14" width="9.140625" style="8" customWidth="1"/>
    <col min="15" max="15" width="14.42578125" style="8" customWidth="1"/>
    <col min="16" max="16" width="14.85546875" style="8" customWidth="1"/>
    <col min="17" max="17" width="6.7109375" style="8" customWidth="1"/>
    <col min="18" max="16384" width="9.7109375" style="8"/>
  </cols>
  <sheetData>
    <row r="1" spans="1:17" ht="46.5" customHeight="1" x14ac:dyDescent="0.3">
      <c r="A1" s="93">
        <v>2023</v>
      </c>
      <c r="B1" s="93"/>
      <c r="C1" s="94" t="s">
        <v>38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5"/>
      <c r="P1" s="95"/>
      <c r="Q1" s="95"/>
    </row>
    <row r="2" spans="1:17" ht="33" customHeight="1" x14ac:dyDescent="0.3">
      <c r="A2" s="96" t="s">
        <v>0</v>
      </c>
      <c r="B2" s="98" t="s">
        <v>1</v>
      </c>
      <c r="C2" s="99"/>
      <c r="D2" s="100"/>
      <c r="E2" s="101" t="s">
        <v>2</v>
      </c>
      <c r="F2" s="101" t="s">
        <v>3</v>
      </c>
      <c r="G2" s="101" t="s">
        <v>4</v>
      </c>
      <c r="H2" s="101" t="s">
        <v>5</v>
      </c>
      <c r="I2" s="98" t="s">
        <v>6</v>
      </c>
      <c r="J2" s="99"/>
      <c r="K2" s="100"/>
      <c r="L2" s="98" t="s">
        <v>7</v>
      </c>
      <c r="M2" s="99"/>
      <c r="N2" s="99"/>
      <c r="O2" s="100"/>
      <c r="P2" s="101" t="s">
        <v>8</v>
      </c>
      <c r="Q2" s="101" t="s">
        <v>9</v>
      </c>
    </row>
    <row r="3" spans="1:17" ht="155.25" customHeight="1" x14ac:dyDescent="0.3">
      <c r="A3" s="97"/>
      <c r="B3" s="9" t="s">
        <v>10</v>
      </c>
      <c r="C3" s="9" t="s">
        <v>11</v>
      </c>
      <c r="D3" s="9" t="s">
        <v>12</v>
      </c>
      <c r="E3" s="102"/>
      <c r="F3" s="102"/>
      <c r="G3" s="102"/>
      <c r="H3" s="102"/>
      <c r="I3" s="9" t="s">
        <v>13</v>
      </c>
      <c r="J3" s="10" t="s">
        <v>14</v>
      </c>
      <c r="K3" s="9" t="s">
        <v>15</v>
      </c>
      <c r="L3" s="85" t="s">
        <v>16</v>
      </c>
      <c r="M3" s="9" t="s">
        <v>17</v>
      </c>
      <c r="N3" s="9" t="s">
        <v>18</v>
      </c>
      <c r="O3" s="9" t="s">
        <v>19</v>
      </c>
      <c r="P3" s="102"/>
      <c r="Q3" s="102"/>
    </row>
    <row r="4" spans="1:17" ht="23.1" customHeight="1" x14ac:dyDescent="0.3">
      <c r="A4" s="11" t="s">
        <v>20</v>
      </c>
      <c r="B4" s="12">
        <v>90255</v>
      </c>
      <c r="C4" s="12">
        <v>156603.90666666668</v>
      </c>
      <c r="D4" s="13">
        <v>81543.713000000003</v>
      </c>
      <c r="E4" s="77">
        <v>12551028</v>
      </c>
      <c r="F4" s="78">
        <v>12076436.155999999</v>
      </c>
      <c r="G4" s="78">
        <v>14230895.68</v>
      </c>
      <c r="H4" s="14">
        <f t="shared" ref="H4:H15" si="0">IFERROR(F4/G4*100," ")</f>
        <v>84.860689218403422</v>
      </c>
      <c r="I4" s="15">
        <v>51419.400329999975</v>
      </c>
      <c r="J4" s="16">
        <v>2994.6400837009996</v>
      </c>
      <c r="K4" s="14">
        <f t="shared" ref="K4:K11" si="1">IF(AND(ISBLANK(I4),ISBLANK(J4))=TRUE,"",I4+J4)</f>
        <v>54414.040413700975</v>
      </c>
      <c r="L4" s="81">
        <v>1057894.7403719998</v>
      </c>
      <c r="M4" s="82">
        <v>60425.881752130066</v>
      </c>
      <c r="N4" s="82">
        <v>2526.1171411799983</v>
      </c>
      <c r="O4" s="14">
        <f>IF(AND(ISBLANK(L4),ISBLANK(M4),ISBLANK(N4))=TRUE,"",L4+M4+N4)</f>
        <v>1120846.7392653099</v>
      </c>
      <c r="P4" s="82">
        <v>1566587.642026</v>
      </c>
      <c r="Q4" s="14">
        <f t="shared" ref="Q4:Q15" si="2">IFERROR(O4/P4*100," ")</f>
        <v>71.547017811002732</v>
      </c>
    </row>
    <row r="5" spans="1:17" ht="23.1" customHeight="1" x14ac:dyDescent="0.3">
      <c r="A5" s="17" t="s">
        <v>21</v>
      </c>
      <c r="B5" s="18">
        <v>83384</v>
      </c>
      <c r="C5" s="18">
        <v>143901.50333333336</v>
      </c>
      <c r="D5" s="17">
        <v>75024.996999999988</v>
      </c>
      <c r="E5" s="79">
        <v>12068372</v>
      </c>
      <c r="F5" s="80">
        <v>11604148.109999999</v>
      </c>
      <c r="G5" s="80">
        <v>13133152.954000002</v>
      </c>
      <c r="H5" s="84">
        <f t="shared" si="0"/>
        <v>88.357671235875543</v>
      </c>
      <c r="I5" s="88">
        <v>51923.775844000011</v>
      </c>
      <c r="J5" s="88">
        <v>3151.2850148510338</v>
      </c>
      <c r="K5" s="20">
        <f t="shared" si="1"/>
        <v>55075.060858851044</v>
      </c>
      <c r="L5" s="83">
        <v>1017514.076495</v>
      </c>
      <c r="M5" s="84">
        <v>95557.381938520994</v>
      </c>
      <c r="N5" s="84">
        <v>3114.7816928179304</v>
      </c>
      <c r="O5" s="20">
        <f>IF(AND(ISBLANK(L5),ISBLANK(M5),ISBLANK(N5))=TRUE,"",L5+M5+N5)</f>
        <v>1116186.240126339</v>
      </c>
      <c r="P5" s="84">
        <v>1538554.562284</v>
      </c>
      <c r="Q5" s="84">
        <f t="shared" si="2"/>
        <v>72.547718975227568</v>
      </c>
    </row>
    <row r="6" spans="1:17" ht="23.1" customHeight="1" x14ac:dyDescent="0.3">
      <c r="A6" s="23" t="s">
        <v>22</v>
      </c>
      <c r="B6" s="24">
        <v>92238</v>
      </c>
      <c r="C6" s="24">
        <v>159301.83066666668</v>
      </c>
      <c r="D6" s="23">
        <v>82967.701407999994</v>
      </c>
      <c r="E6" s="25">
        <v>12893197</v>
      </c>
      <c r="F6" s="24">
        <v>12426170.421000002</v>
      </c>
      <c r="G6" s="24">
        <v>14506243.7258</v>
      </c>
      <c r="H6" s="26">
        <f t="shared" si="0"/>
        <v>85.660841330685116</v>
      </c>
      <c r="I6" s="27">
        <v>57843.455650000011</v>
      </c>
      <c r="J6" s="28">
        <v>3455.2526839323809</v>
      </c>
      <c r="K6" s="26">
        <f t="shared" si="1"/>
        <v>61298.708333932394</v>
      </c>
      <c r="L6" s="27">
        <v>1089331.504225</v>
      </c>
      <c r="M6" s="28">
        <v>111576.47771242945</v>
      </c>
      <c r="N6" s="28">
        <v>3174.5350378877629</v>
      </c>
      <c r="O6" s="26">
        <f>IF(AND(ISBLANK(L6),ISBLANK(M6),ISBLANK(N6))=TRUE,"",L6+M6+N6)</f>
        <v>1204082.5169753172</v>
      </c>
      <c r="P6" s="28">
        <v>1715193.457754001</v>
      </c>
      <c r="Q6" s="26">
        <f t="shared" si="2"/>
        <v>70.200974212671625</v>
      </c>
    </row>
    <row r="7" spans="1:17" ht="23.1" customHeight="1" x14ac:dyDescent="0.3">
      <c r="A7" s="17" t="s">
        <v>23</v>
      </c>
      <c r="B7" s="18">
        <v>88734</v>
      </c>
      <c r="C7" s="18">
        <v>155009.00666666665</v>
      </c>
      <c r="D7" s="17">
        <v>80144.48539999999</v>
      </c>
      <c r="E7" s="19">
        <v>12888410</v>
      </c>
      <c r="F7" s="18">
        <v>12404425.443</v>
      </c>
      <c r="G7" s="18">
        <v>14042821.755999999</v>
      </c>
      <c r="H7" s="20">
        <f t="shared" si="0"/>
        <v>88.332855451220325</v>
      </c>
      <c r="I7" s="21">
        <v>55893.544830000006</v>
      </c>
      <c r="J7" s="22">
        <v>3176.8496143527464</v>
      </c>
      <c r="K7" s="20">
        <f t="shared" si="1"/>
        <v>59070.394444352751</v>
      </c>
      <c r="L7" s="21">
        <v>1087790.7568959999</v>
      </c>
      <c r="M7" s="22">
        <v>114940.30914867</v>
      </c>
      <c r="N7" s="22">
        <v>3019.0375449198641</v>
      </c>
      <c r="O7" s="20">
        <f t="shared" ref="O7:O15" si="3">IF(AND(ISBLANK(L7),ISBLANK(M7),ISBLANK(N7))=TRUE,"",L7+M7+N7)</f>
        <v>1205750.1035895897</v>
      </c>
      <c r="P7" s="22">
        <v>1677690.166856</v>
      </c>
      <c r="Q7" s="20">
        <f t="shared" si="2"/>
        <v>71.869653134414662</v>
      </c>
    </row>
    <row r="8" spans="1:17" s="29" customFormat="1" ht="30" customHeight="1" x14ac:dyDescent="0.25">
      <c r="A8" s="23" t="s">
        <v>24</v>
      </c>
      <c r="B8" s="24">
        <v>88175</v>
      </c>
      <c r="C8" s="24">
        <v>150971.76666666669</v>
      </c>
      <c r="D8" s="23">
        <v>79191.298479999998</v>
      </c>
      <c r="E8" s="25">
        <v>13214182</v>
      </c>
      <c r="F8" s="24">
        <v>12691564.549999997</v>
      </c>
      <c r="G8" s="24">
        <v>13846388.478</v>
      </c>
      <c r="H8" s="26">
        <f t="shared" si="0"/>
        <v>91.659746295325604</v>
      </c>
      <c r="I8" s="27">
        <v>61278.978130000003</v>
      </c>
      <c r="J8" s="28">
        <v>3309.9538290079922</v>
      </c>
      <c r="K8" s="26">
        <f t="shared" si="1"/>
        <v>64588.931959007998</v>
      </c>
      <c r="L8" s="27">
        <v>1112924.8005510001</v>
      </c>
      <c r="M8" s="28">
        <v>125564.47621424957</v>
      </c>
      <c r="N8" s="28">
        <v>3264.0648947612158</v>
      </c>
      <c r="O8" s="26">
        <f t="shared" si="3"/>
        <v>1241753.3416600109</v>
      </c>
      <c r="P8" s="28">
        <v>1670688.4581270022</v>
      </c>
      <c r="Q8" s="26">
        <f t="shared" si="2"/>
        <v>74.325846666357677</v>
      </c>
    </row>
    <row r="9" spans="1:17" ht="23.1" customHeight="1" x14ac:dyDescent="0.3">
      <c r="A9" s="17" t="s">
        <v>25</v>
      </c>
      <c r="B9" s="18">
        <v>84316</v>
      </c>
      <c r="C9" s="18">
        <v>145280.27066666668</v>
      </c>
      <c r="D9" s="17">
        <v>76227.455399999992</v>
      </c>
      <c r="E9" s="19">
        <v>12486601</v>
      </c>
      <c r="F9" s="18">
        <v>12088470.697000001</v>
      </c>
      <c r="G9" s="18">
        <v>13309594.443999998</v>
      </c>
      <c r="H9" s="20">
        <f t="shared" si="0"/>
        <v>90.825236996229563</v>
      </c>
      <c r="I9" s="21">
        <v>59272.692930000019</v>
      </c>
      <c r="J9" s="22">
        <v>3596.7529244917819</v>
      </c>
      <c r="K9" s="20">
        <f t="shared" si="1"/>
        <v>62869.445854491802</v>
      </c>
      <c r="L9" s="21">
        <v>1061997.8169920002</v>
      </c>
      <c r="M9" s="22">
        <v>120396.33723851776</v>
      </c>
      <c r="N9" s="22">
        <v>3166.7972731592572</v>
      </c>
      <c r="O9" s="20">
        <f t="shared" si="3"/>
        <v>1185560.9515036773</v>
      </c>
      <c r="P9" s="22">
        <v>1610917.4909299978</v>
      </c>
      <c r="Q9" s="20">
        <f t="shared" si="2"/>
        <v>73.595386367010136</v>
      </c>
    </row>
    <row r="10" spans="1:17" ht="23.1" customHeight="1" x14ac:dyDescent="0.3">
      <c r="A10" s="23" t="s">
        <v>26</v>
      </c>
      <c r="B10" s="24">
        <v>87086</v>
      </c>
      <c r="C10" s="24">
        <v>151799.96499999889</v>
      </c>
      <c r="D10" s="23">
        <v>97420.479668</v>
      </c>
      <c r="E10" s="25">
        <v>12100030</v>
      </c>
      <c r="F10" s="24">
        <v>11606077.749999998</v>
      </c>
      <c r="G10" s="24">
        <v>13795622.275</v>
      </c>
      <c r="H10" s="26">
        <f t="shared" si="0"/>
        <v>84.12870053011072</v>
      </c>
      <c r="I10" s="27">
        <v>61218.123729999985</v>
      </c>
      <c r="J10" s="28">
        <v>3830.0007577114138</v>
      </c>
      <c r="K10" s="26">
        <f t="shared" si="1"/>
        <v>65048.1244877114</v>
      </c>
      <c r="L10" s="27">
        <v>1020140.9216009999</v>
      </c>
      <c r="M10" s="28">
        <v>112392.32640729391</v>
      </c>
      <c r="N10" s="28">
        <v>3604.5319855305811</v>
      </c>
      <c r="O10" s="26">
        <f t="shared" si="3"/>
        <v>1136137.7799938244</v>
      </c>
      <c r="P10" s="28">
        <v>1643604.476094</v>
      </c>
      <c r="Q10" s="26">
        <f t="shared" si="2"/>
        <v>69.124767942579339</v>
      </c>
    </row>
    <row r="11" spans="1:17" ht="23.1" customHeight="1" x14ac:dyDescent="0.3">
      <c r="A11" s="17" t="s">
        <v>27</v>
      </c>
      <c r="B11" s="18">
        <v>88237</v>
      </c>
      <c r="C11" s="18">
        <v>152349.24166666667</v>
      </c>
      <c r="D11" s="17">
        <v>79942.811050000004</v>
      </c>
      <c r="E11" s="19">
        <v>12422673</v>
      </c>
      <c r="F11" s="18">
        <v>11933920.133000001</v>
      </c>
      <c r="G11" s="18">
        <v>14082444.311999999</v>
      </c>
      <c r="H11" s="20">
        <f t="shared" si="0"/>
        <v>84.743243918463875</v>
      </c>
      <c r="I11" s="21">
        <v>61668.214960000019</v>
      </c>
      <c r="J11" s="22">
        <v>4089.0166114117369</v>
      </c>
      <c r="K11" s="20">
        <f t="shared" si="1"/>
        <v>65757.231571411758</v>
      </c>
      <c r="L11" s="21">
        <v>1049906.366073</v>
      </c>
      <c r="M11" s="22">
        <v>122452.04454548817</v>
      </c>
      <c r="N11" s="22">
        <v>3944.0963312185909</v>
      </c>
      <c r="O11" s="20">
        <f t="shared" si="3"/>
        <v>1176302.5069497067</v>
      </c>
      <c r="P11" s="22">
        <v>1713045.0380179998</v>
      </c>
      <c r="Q11" s="20">
        <f t="shared" si="2"/>
        <v>68.66734270516865</v>
      </c>
    </row>
    <row r="12" spans="1:17" ht="23.1" customHeight="1" x14ac:dyDescent="0.3">
      <c r="A12" s="23" t="s">
        <v>28</v>
      </c>
      <c r="B12" s="24">
        <v>86294</v>
      </c>
      <c r="C12" s="24">
        <v>150543.22666666532</v>
      </c>
      <c r="D12" s="23">
        <v>72619.449152000001</v>
      </c>
      <c r="E12" s="25">
        <v>12246549</v>
      </c>
      <c r="F12" s="24">
        <v>11790940.081</v>
      </c>
      <c r="G12" s="24">
        <v>13770514.215</v>
      </c>
      <c r="H12" s="26">
        <f t="shared" si="0"/>
        <v>85.624544566072331</v>
      </c>
      <c r="I12" s="27">
        <v>57856.705234000008</v>
      </c>
      <c r="J12" s="28">
        <v>3518.0496031135922</v>
      </c>
      <c r="K12" s="28">
        <f t="shared" ref="K12:K15" si="4">IF(AND(ISBLANK(I12),ISBLANK(J12))=TRUE,"",I12+J12)</f>
        <v>61374.7548371136</v>
      </c>
      <c r="L12" s="27">
        <v>1036300.9797869998</v>
      </c>
      <c r="M12" s="28">
        <v>96607.917059556639</v>
      </c>
      <c r="N12" s="28">
        <v>3382.4717414595652</v>
      </c>
      <c r="O12" s="26">
        <f t="shared" si="3"/>
        <v>1136291.3685880159</v>
      </c>
      <c r="P12" s="28">
        <v>1638939.8088659989</v>
      </c>
      <c r="Q12" s="26">
        <f t="shared" si="2"/>
        <v>69.330878561930149</v>
      </c>
    </row>
    <row r="13" spans="1:17" ht="23.1" customHeight="1" x14ac:dyDescent="0.3">
      <c r="A13" s="17" t="s">
        <v>29</v>
      </c>
      <c r="B13" s="18">
        <v>90887</v>
      </c>
      <c r="C13" s="18">
        <v>156855.44333333333</v>
      </c>
      <c r="D13" s="17">
        <v>76630.337530000004</v>
      </c>
      <c r="E13" s="19">
        <v>12636742</v>
      </c>
      <c r="F13" s="18">
        <v>12306501.460600002</v>
      </c>
      <c r="G13" s="18">
        <v>14555249.139199998</v>
      </c>
      <c r="H13" s="22">
        <f t="shared" si="0"/>
        <v>84.550263227417389</v>
      </c>
      <c r="I13" s="21">
        <v>60306.261920000012</v>
      </c>
      <c r="J13" s="22">
        <v>3571.023318153545</v>
      </c>
      <c r="K13" s="20">
        <f t="shared" si="4"/>
        <v>63877.285238153556</v>
      </c>
      <c r="L13" s="21">
        <v>1081846.841764</v>
      </c>
      <c r="M13" s="22">
        <v>70530.587594504002</v>
      </c>
      <c r="N13" s="22">
        <v>3434.5334048030095</v>
      </c>
      <c r="O13" s="20">
        <f t="shared" si="3"/>
        <v>1155811.9627633069</v>
      </c>
      <c r="P13" s="22">
        <v>1647351.4311079984</v>
      </c>
      <c r="Q13" s="20">
        <f t="shared" si="2"/>
        <v>70.161833166704142</v>
      </c>
    </row>
    <row r="14" spans="1:17" ht="23.1" customHeight="1" x14ac:dyDescent="0.3">
      <c r="A14" s="23" t="s">
        <v>30</v>
      </c>
      <c r="B14" s="24">
        <v>89000</v>
      </c>
      <c r="C14" s="24">
        <v>154862.85</v>
      </c>
      <c r="D14" s="23">
        <v>74030.62788</v>
      </c>
      <c r="E14" s="25">
        <v>12735394</v>
      </c>
      <c r="F14" s="24">
        <v>12354847.808</v>
      </c>
      <c r="G14" s="24">
        <v>14317028.885999998</v>
      </c>
      <c r="H14" s="28">
        <f t="shared" si="0"/>
        <v>86.294774609844296</v>
      </c>
      <c r="I14" s="27">
        <v>59524.527300000016</v>
      </c>
      <c r="J14" s="28">
        <v>3787.9957547124445</v>
      </c>
      <c r="K14" s="26">
        <f t="shared" si="4"/>
        <v>63312.523054712459</v>
      </c>
      <c r="L14" s="27">
        <v>1082871.192358</v>
      </c>
      <c r="M14" s="28">
        <v>69364.487543729614</v>
      </c>
      <c r="N14" s="28">
        <v>3643.2982201251029</v>
      </c>
      <c r="O14" s="26">
        <f t="shared" si="3"/>
        <v>1155878.9781218546</v>
      </c>
      <c r="P14" s="28">
        <v>1620959.9460439985</v>
      </c>
      <c r="Q14" s="26">
        <f t="shared" si="2"/>
        <v>71.308299809801724</v>
      </c>
    </row>
    <row r="15" spans="1:17" ht="23.1" customHeight="1" x14ac:dyDescent="0.3">
      <c r="A15" s="30" t="s">
        <v>31</v>
      </c>
      <c r="B15" s="31">
        <v>91529</v>
      </c>
      <c r="C15" s="31">
        <v>159680.31333333332</v>
      </c>
      <c r="D15" s="32">
        <v>82918.776972000021</v>
      </c>
      <c r="E15" s="33">
        <v>13797352</v>
      </c>
      <c r="F15" s="31">
        <v>13412434.493000001</v>
      </c>
      <c r="G15" s="31">
        <v>14785876.647666665</v>
      </c>
      <c r="H15" s="34">
        <f t="shared" si="0"/>
        <v>90.71112124499291</v>
      </c>
      <c r="I15" s="35">
        <v>59608.396200000003</v>
      </c>
      <c r="J15" s="36">
        <v>4105.2059770323867</v>
      </c>
      <c r="K15" s="34">
        <f t="shared" si="4"/>
        <v>63713.602177032386</v>
      </c>
      <c r="L15" s="35">
        <v>1177066.5551820002</v>
      </c>
      <c r="M15" s="36">
        <v>69629.847130239039</v>
      </c>
      <c r="N15" s="36">
        <v>3951.9719248988417</v>
      </c>
      <c r="O15" s="34">
        <f t="shared" si="3"/>
        <v>1250648.3742371381</v>
      </c>
      <c r="P15" s="22">
        <v>1675898.889094</v>
      </c>
      <c r="Q15" s="20">
        <f t="shared" si="2"/>
        <v>74.625526777050695</v>
      </c>
    </row>
    <row r="16" spans="1:17" ht="23.1" customHeight="1" x14ac:dyDescent="0.3">
      <c r="A16" s="37" t="s">
        <v>32</v>
      </c>
      <c r="B16" s="38">
        <f t="shared" ref="B16:G16" si="5">SUM(B4:B15)</f>
        <v>1060135</v>
      </c>
      <c r="C16" s="38">
        <f t="shared" si="5"/>
        <v>1837159.3246666645</v>
      </c>
      <c r="D16" s="38">
        <f t="shared" si="5"/>
        <v>958662.13294000004</v>
      </c>
      <c r="E16" s="38">
        <f t="shared" si="5"/>
        <v>152040530</v>
      </c>
      <c r="F16" s="38">
        <f t="shared" si="5"/>
        <v>146695937.10259998</v>
      </c>
      <c r="G16" s="38">
        <f t="shared" si="5"/>
        <v>168375832.5126667</v>
      </c>
      <c r="H16" s="39">
        <f t="shared" ref="H16" si="6">IFERROR(F16/G16*100," ")</f>
        <v>87.124104993847169</v>
      </c>
      <c r="I16" s="39">
        <f>SUM(I4:I15)</f>
        <v>697814.07705799991</v>
      </c>
      <c r="J16" s="39">
        <f>SUM(J4:J15)</f>
        <v>42586.026172472048</v>
      </c>
      <c r="K16" s="39">
        <f t="shared" ref="K16" si="7">IF(AND(ISBLANK(I16),ISBLANK(J16))=TRUE,"",I16+J16)</f>
        <v>740400.10323047196</v>
      </c>
      <c r="L16" s="39">
        <f>SUM(L4:L15)</f>
        <v>12875586.552296001</v>
      </c>
      <c r="M16" s="39">
        <f>SUM(M4:M15)</f>
        <v>1169438.0742853293</v>
      </c>
      <c r="N16" s="39">
        <f>SUM(N4:N15)</f>
        <v>40226.237192761721</v>
      </c>
      <c r="O16" s="39">
        <f t="shared" ref="O16" si="8">IF(AND(ISBLANK(L16),ISBLANK(M16),ISBLANK(N16))=TRUE,"",L16+M16+N16)</f>
        <v>14085250.863774091</v>
      </c>
      <c r="P16" s="40">
        <f>SUM(P4:P15)</f>
        <v>19719431.367200993</v>
      </c>
      <c r="Q16" s="40">
        <f t="shared" ref="Q16" si="9">IFERROR(O16/P16*100," ")</f>
        <v>71.428281077119991</v>
      </c>
    </row>
    <row r="17" spans="1:17" ht="20.100000000000001" customHeight="1" x14ac:dyDescent="0.3">
      <c r="A17" s="103" t="s">
        <v>36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5"/>
    </row>
    <row r="18" spans="1:17" s="41" customFormat="1" x14ac:dyDescent="0.25">
      <c r="A18" s="90" t="s">
        <v>33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2"/>
    </row>
    <row r="19" spans="1:17" s="41" customFormat="1" x14ac:dyDescent="0.25">
      <c r="A19" s="90" t="s">
        <v>34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</row>
    <row r="20" spans="1:17" ht="51.75" customHeight="1" x14ac:dyDescent="0.3">
      <c r="A20" s="106">
        <v>2023</v>
      </c>
      <c r="B20" s="106"/>
      <c r="C20" s="107" t="s">
        <v>39</v>
      </c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8"/>
      <c r="P20" s="108"/>
      <c r="Q20" s="108"/>
    </row>
    <row r="21" spans="1:17" ht="33" customHeight="1" x14ac:dyDescent="0.3">
      <c r="A21" s="109" t="s">
        <v>0</v>
      </c>
      <c r="B21" s="111" t="s">
        <v>1</v>
      </c>
      <c r="C21" s="112"/>
      <c r="D21" s="113"/>
      <c r="E21" s="114" t="s">
        <v>2</v>
      </c>
      <c r="F21" s="114" t="s">
        <v>3</v>
      </c>
      <c r="G21" s="114" t="s">
        <v>4</v>
      </c>
      <c r="H21" s="114" t="s">
        <v>5</v>
      </c>
      <c r="I21" s="111" t="s">
        <v>6</v>
      </c>
      <c r="J21" s="112"/>
      <c r="K21" s="113"/>
      <c r="L21" s="111" t="s">
        <v>7</v>
      </c>
      <c r="M21" s="112"/>
      <c r="N21" s="112"/>
      <c r="O21" s="113"/>
      <c r="P21" s="114" t="s">
        <v>8</v>
      </c>
      <c r="Q21" s="114" t="s">
        <v>9</v>
      </c>
    </row>
    <row r="22" spans="1:17" ht="150.75" customHeight="1" x14ac:dyDescent="0.3">
      <c r="A22" s="110"/>
      <c r="B22" s="42" t="s">
        <v>10</v>
      </c>
      <c r="C22" s="42" t="s">
        <v>11</v>
      </c>
      <c r="D22" s="42" t="s">
        <v>12</v>
      </c>
      <c r="E22" s="115"/>
      <c r="F22" s="115"/>
      <c r="G22" s="115"/>
      <c r="H22" s="115"/>
      <c r="I22" s="42" t="s">
        <v>13</v>
      </c>
      <c r="J22" s="43" t="s">
        <v>14</v>
      </c>
      <c r="K22" s="42" t="s">
        <v>15</v>
      </c>
      <c r="L22" s="86" t="s">
        <v>16</v>
      </c>
      <c r="M22" s="42" t="s">
        <v>17</v>
      </c>
      <c r="N22" s="42" t="s">
        <v>18</v>
      </c>
      <c r="O22" s="42" t="s">
        <v>19</v>
      </c>
      <c r="P22" s="115"/>
      <c r="Q22" s="115"/>
    </row>
    <row r="23" spans="1:17" ht="23.1" customHeight="1" x14ac:dyDescent="0.3">
      <c r="A23" s="1" t="s">
        <v>20</v>
      </c>
      <c r="B23" s="44">
        <v>647</v>
      </c>
      <c r="C23" s="45">
        <v>980.70000000000016</v>
      </c>
      <c r="D23" s="46">
        <v>469.339</v>
      </c>
      <c r="E23" s="44">
        <v>59355</v>
      </c>
      <c r="F23" s="45">
        <v>41419.011000000006</v>
      </c>
      <c r="G23" s="45">
        <v>49517.657999999996</v>
      </c>
      <c r="H23" s="47">
        <f t="shared" ref="H23:H35" si="10">IFERROR(F23/G23*100," ")</f>
        <v>83.644931268760743</v>
      </c>
      <c r="I23" s="48">
        <v>1147.6580200000001</v>
      </c>
      <c r="J23" s="49">
        <v>3.4500000000000003E-2</v>
      </c>
      <c r="K23" s="47">
        <f>IF(AND(ISBLANK(I23),ISBLANK(J23))=TRUE,"",I23+J23)</f>
        <v>1147.6925200000001</v>
      </c>
      <c r="L23" s="48">
        <v>3644.6739750000002</v>
      </c>
      <c r="M23" s="49">
        <v>1389.9225404000003</v>
      </c>
      <c r="N23" s="49">
        <v>0.73267654000000004</v>
      </c>
      <c r="O23" s="47">
        <f t="shared" ref="O23:O35" si="11">IF(AND(ISBLANK(L23),ISBLANK(M23),ISBLANK(N23))=TRUE,"",L23+M23+N23)</f>
        <v>5035.3291919400008</v>
      </c>
      <c r="P23" s="48">
        <v>8854.2994140000028</v>
      </c>
      <c r="Q23" s="47">
        <f t="shared" ref="Q23:Q35" si="12">IFERROR(O23/P23*100," ")</f>
        <v>56.868747672778888</v>
      </c>
    </row>
    <row r="24" spans="1:17" ht="23.1" customHeight="1" x14ac:dyDescent="0.3">
      <c r="A24" s="50" t="s">
        <v>21</v>
      </c>
      <c r="B24" s="51">
        <v>595</v>
      </c>
      <c r="C24" s="52">
        <v>921.06666666666661</v>
      </c>
      <c r="D24" s="53">
        <v>409.10399999999998</v>
      </c>
      <c r="E24" s="51">
        <v>62249</v>
      </c>
      <c r="F24" s="52">
        <v>42779.278999999995</v>
      </c>
      <c r="G24" s="52">
        <v>49546.441999999995</v>
      </c>
      <c r="H24" s="54">
        <f t="shared" si="10"/>
        <v>86.341778083681561</v>
      </c>
      <c r="I24" s="55">
        <v>736.57182999999986</v>
      </c>
      <c r="J24" s="56">
        <v>7.0000000000000007E-2</v>
      </c>
      <c r="K24" s="54">
        <f t="shared" ref="K24:K35" si="13">IF(AND(ISBLANK(I24),ISBLANK(J24))=TRUE,"",I24+J24)</f>
        <v>736.64182999999991</v>
      </c>
      <c r="L24" s="55">
        <v>3771.6153249999998</v>
      </c>
      <c r="M24" s="56">
        <v>759.27544562999992</v>
      </c>
      <c r="N24" s="56">
        <v>0.63365499999999997</v>
      </c>
      <c r="O24" s="54">
        <f t="shared" si="11"/>
        <v>4531.5244256299993</v>
      </c>
      <c r="P24" s="55">
        <v>7255.1645500000004</v>
      </c>
      <c r="Q24" s="54">
        <f t="shared" si="12"/>
        <v>62.45929219661874</v>
      </c>
    </row>
    <row r="25" spans="1:17" ht="23.1" customHeight="1" x14ac:dyDescent="0.3">
      <c r="A25" s="1" t="s">
        <v>22</v>
      </c>
      <c r="B25" s="57">
        <v>568</v>
      </c>
      <c r="C25" s="58">
        <v>832.89933333333329</v>
      </c>
      <c r="D25" s="59">
        <v>397.74799999999999</v>
      </c>
      <c r="E25" s="57">
        <v>59781</v>
      </c>
      <c r="F25" s="58">
        <v>41926.911999999997</v>
      </c>
      <c r="G25" s="58">
        <v>48386.826000000001</v>
      </c>
      <c r="H25" s="5">
        <f t="shared" si="10"/>
        <v>86.649436356912517</v>
      </c>
      <c r="I25" s="60">
        <v>620.40204000000006</v>
      </c>
      <c r="J25" s="61">
        <v>0.10100000000000001</v>
      </c>
      <c r="K25" s="5">
        <f t="shared" si="13"/>
        <v>620.50304000000006</v>
      </c>
      <c r="L25" s="60">
        <v>3733.7116750000005</v>
      </c>
      <c r="M25" s="61">
        <v>715.12818806000018</v>
      </c>
      <c r="N25" s="61">
        <v>1.190102</v>
      </c>
      <c r="O25" s="5">
        <f t="shared" si="11"/>
        <v>4450.02996506</v>
      </c>
      <c r="P25" s="60">
        <v>7281.684921</v>
      </c>
      <c r="Q25" s="5">
        <f t="shared" si="12"/>
        <v>61.112641007390266</v>
      </c>
    </row>
    <row r="26" spans="1:17" ht="23.1" customHeight="1" x14ac:dyDescent="0.3">
      <c r="A26" s="50" t="s">
        <v>23</v>
      </c>
      <c r="B26" s="51">
        <v>562</v>
      </c>
      <c r="C26" s="52">
        <v>868.8</v>
      </c>
      <c r="D26" s="53">
        <v>396.90799999999996</v>
      </c>
      <c r="E26" s="51">
        <v>56186</v>
      </c>
      <c r="F26" s="52">
        <v>39390.596999999994</v>
      </c>
      <c r="G26" s="52">
        <v>45387.959000000003</v>
      </c>
      <c r="H26" s="54">
        <f t="shared" si="10"/>
        <v>86.786447039841548</v>
      </c>
      <c r="I26" s="55">
        <v>545.12124999999992</v>
      </c>
      <c r="J26" s="56">
        <v>0.28399999999999997</v>
      </c>
      <c r="K26" s="54">
        <f t="shared" si="13"/>
        <v>545.40524999999991</v>
      </c>
      <c r="L26" s="55">
        <v>3505.6892300000004</v>
      </c>
      <c r="M26" s="56">
        <v>622.20749362000004</v>
      </c>
      <c r="N26" s="56">
        <v>0.94440800000000003</v>
      </c>
      <c r="O26" s="54">
        <f t="shared" si="11"/>
        <v>4128.8411316200009</v>
      </c>
      <c r="P26" s="55">
        <v>7448.1474399999997</v>
      </c>
      <c r="Q26" s="54">
        <f t="shared" si="12"/>
        <v>55.434470985982529</v>
      </c>
    </row>
    <row r="27" spans="1:17" s="29" customFormat="1" ht="30" customHeight="1" x14ac:dyDescent="0.25">
      <c r="A27" s="1" t="s">
        <v>24</v>
      </c>
      <c r="B27" s="57">
        <v>442</v>
      </c>
      <c r="C27" s="62">
        <v>482.06666666666666</v>
      </c>
      <c r="D27" s="59">
        <v>292.35422000000005</v>
      </c>
      <c r="E27" s="57">
        <v>34461</v>
      </c>
      <c r="F27" s="58">
        <v>24390.313000000002</v>
      </c>
      <c r="G27" s="58">
        <v>29681.442999999999</v>
      </c>
      <c r="H27" s="5">
        <f t="shared" si="10"/>
        <v>82.173609281732027</v>
      </c>
      <c r="I27" s="60">
        <v>602.96632000000011</v>
      </c>
      <c r="J27" s="61">
        <v>0.53700000000000003</v>
      </c>
      <c r="K27" s="5">
        <f t="shared" si="13"/>
        <v>603.50332000000014</v>
      </c>
      <c r="L27" s="60">
        <v>2170.8252770000004</v>
      </c>
      <c r="M27" s="61">
        <v>654.26401539166864</v>
      </c>
      <c r="N27" s="61">
        <v>1.098803</v>
      </c>
      <c r="O27" s="5">
        <f t="shared" si="11"/>
        <v>2826.1880953916689</v>
      </c>
      <c r="P27" s="60">
        <v>5386.58536</v>
      </c>
      <c r="Q27" s="5">
        <f t="shared" si="12"/>
        <v>52.467155099379482</v>
      </c>
    </row>
    <row r="28" spans="1:17" ht="23.1" customHeight="1" x14ac:dyDescent="0.3">
      <c r="A28" s="50" t="s">
        <v>25</v>
      </c>
      <c r="B28" s="63">
        <v>438</v>
      </c>
      <c r="C28" s="64">
        <v>796.6</v>
      </c>
      <c r="D28" s="53">
        <v>310.11999999999995</v>
      </c>
      <c r="E28" s="63">
        <v>31397</v>
      </c>
      <c r="F28" s="64">
        <v>22176.921999999999</v>
      </c>
      <c r="G28" s="64">
        <v>24665.48</v>
      </c>
      <c r="H28" s="54">
        <f t="shared" si="10"/>
        <v>89.910765977390255</v>
      </c>
      <c r="I28" s="65">
        <v>971.98257999999964</v>
      </c>
      <c r="J28" s="56"/>
      <c r="K28" s="54">
        <f t="shared" si="13"/>
        <v>971.98257999999964</v>
      </c>
      <c r="L28" s="65">
        <v>1973.9526700000001</v>
      </c>
      <c r="M28" s="66">
        <v>1106.3615890200001</v>
      </c>
      <c r="N28" s="66">
        <v>0</v>
      </c>
      <c r="O28" s="54">
        <f t="shared" si="11"/>
        <v>3080.3142590200005</v>
      </c>
      <c r="P28" s="65">
        <v>5388.3467000000001</v>
      </c>
      <c r="Q28" s="54">
        <f t="shared" si="12"/>
        <v>57.166222415124111</v>
      </c>
    </row>
    <row r="29" spans="1:17" ht="23.1" customHeight="1" x14ac:dyDescent="0.3">
      <c r="A29" s="1" t="s">
        <v>26</v>
      </c>
      <c r="B29" s="2">
        <v>428</v>
      </c>
      <c r="C29" s="3">
        <v>786.53333333308115</v>
      </c>
      <c r="D29" s="4">
        <v>306.74051999999995</v>
      </c>
      <c r="E29" s="2">
        <v>29720</v>
      </c>
      <c r="F29" s="3">
        <v>20822.46</v>
      </c>
      <c r="G29" s="3">
        <v>23929.452000000001</v>
      </c>
      <c r="H29" s="5">
        <f t="shared" si="10"/>
        <v>87.016033630857905</v>
      </c>
      <c r="I29" s="6">
        <v>1158.2249499999996</v>
      </c>
      <c r="J29" s="7">
        <v>0.40799999999999997</v>
      </c>
      <c r="K29" s="5">
        <f t="shared" si="13"/>
        <v>1158.6329499999995</v>
      </c>
      <c r="L29" s="6">
        <v>1863.16344</v>
      </c>
      <c r="M29" s="7">
        <v>1415.6323647988002</v>
      </c>
      <c r="N29" s="7">
        <v>0.90469999999999995</v>
      </c>
      <c r="O29" s="5">
        <f t="shared" si="11"/>
        <v>3279.7005047988005</v>
      </c>
      <c r="P29" s="6">
        <v>5805.8268199999993</v>
      </c>
      <c r="Q29" s="5">
        <f t="shared" si="12"/>
        <v>56.489809401493659</v>
      </c>
    </row>
    <row r="30" spans="1:17" ht="23.1" customHeight="1" x14ac:dyDescent="0.3">
      <c r="A30" s="50" t="s">
        <v>27</v>
      </c>
      <c r="B30" s="63">
        <v>390</v>
      </c>
      <c r="C30" s="64">
        <v>710.68333333333339</v>
      </c>
      <c r="D30" s="67">
        <v>256.58037999999999</v>
      </c>
      <c r="E30" s="63">
        <v>27436</v>
      </c>
      <c r="F30" s="64">
        <v>15588.932999999999</v>
      </c>
      <c r="G30" s="64">
        <v>19365.253000000001</v>
      </c>
      <c r="H30" s="54">
        <f t="shared" si="10"/>
        <v>80.49950599664254</v>
      </c>
      <c r="I30" s="65">
        <v>676.02735000000007</v>
      </c>
      <c r="J30" s="66">
        <v>5.5E-2</v>
      </c>
      <c r="K30" s="66">
        <f t="shared" si="13"/>
        <v>676.08235000000002</v>
      </c>
      <c r="L30" s="65">
        <v>1391.128195</v>
      </c>
      <c r="M30" s="66">
        <v>874.27015019000009</v>
      </c>
      <c r="N30" s="66">
        <v>9.6689999999999998E-2</v>
      </c>
      <c r="O30" s="54">
        <f t="shared" si="11"/>
        <v>2265.4950351900002</v>
      </c>
      <c r="P30" s="65">
        <v>4513.3629999999994</v>
      </c>
      <c r="Q30" s="54">
        <f t="shared" si="12"/>
        <v>50.195276453278858</v>
      </c>
    </row>
    <row r="31" spans="1:17" ht="23.1" customHeight="1" x14ac:dyDescent="0.3">
      <c r="A31" s="1" t="s">
        <v>28</v>
      </c>
      <c r="B31" s="2">
        <v>419</v>
      </c>
      <c r="C31" s="3">
        <v>834.19999999944889</v>
      </c>
      <c r="D31" s="4">
        <v>311.22650800000002</v>
      </c>
      <c r="E31" s="2">
        <v>28130</v>
      </c>
      <c r="F31" s="3">
        <v>15943.107000000002</v>
      </c>
      <c r="G31" s="3">
        <v>20076.694</v>
      </c>
      <c r="H31" s="5">
        <f t="shared" si="10"/>
        <v>79.411017570920805</v>
      </c>
      <c r="I31" s="6">
        <v>1149.3722699999998</v>
      </c>
      <c r="J31" s="7">
        <v>2E-3</v>
      </c>
      <c r="K31" s="5">
        <f t="shared" si="13"/>
        <v>1149.3742699999998</v>
      </c>
      <c r="L31" s="6">
        <v>1417.020295</v>
      </c>
      <c r="M31" s="7">
        <v>1972.1983536464832</v>
      </c>
      <c r="N31" s="7">
        <v>1.2800000000000001E-3</v>
      </c>
      <c r="O31" s="5">
        <f t="shared" si="11"/>
        <v>3389.2199286464834</v>
      </c>
      <c r="P31" s="6">
        <v>8477.0157111999997</v>
      </c>
      <c r="Q31" s="5">
        <f t="shared" si="12"/>
        <v>39.981286387951123</v>
      </c>
    </row>
    <row r="32" spans="1:17" ht="23.1" customHeight="1" x14ac:dyDescent="0.3">
      <c r="A32" s="50" t="s">
        <v>29</v>
      </c>
      <c r="B32" s="63">
        <v>482</v>
      </c>
      <c r="C32" s="64">
        <v>1011.7666666666665</v>
      </c>
      <c r="D32" s="67">
        <v>392.85300000000001</v>
      </c>
      <c r="E32" s="63">
        <v>33565</v>
      </c>
      <c r="F32" s="64">
        <v>21171.595019999997</v>
      </c>
      <c r="G32" s="64">
        <v>36538.789470000003</v>
      </c>
      <c r="H32" s="54">
        <f t="shared" si="10"/>
        <v>57.942792651581499</v>
      </c>
      <c r="I32" s="65">
        <v>1177.2399900000005</v>
      </c>
      <c r="J32" s="66">
        <v>0.14799999999999999</v>
      </c>
      <c r="K32" s="54">
        <f t="shared" si="13"/>
        <v>1177.3879900000004</v>
      </c>
      <c r="L32" s="65">
        <v>1919.5914250000001</v>
      </c>
      <c r="M32" s="66">
        <v>1406.5876973099998</v>
      </c>
      <c r="N32" s="66">
        <v>0.1181</v>
      </c>
      <c r="O32" s="54">
        <f t="shared" si="11"/>
        <v>3326.2972223100001</v>
      </c>
      <c r="P32" s="65">
        <v>6945.7097520000007</v>
      </c>
      <c r="Q32" s="54">
        <f t="shared" si="12"/>
        <v>47.889954246248209</v>
      </c>
    </row>
    <row r="33" spans="1:17" ht="23.1" customHeight="1" x14ac:dyDescent="0.3">
      <c r="A33" s="1" t="s">
        <v>30</v>
      </c>
      <c r="B33" s="2">
        <v>397</v>
      </c>
      <c r="C33" s="3">
        <v>798.56666666666661</v>
      </c>
      <c r="D33" s="4">
        <v>299.88300000000004</v>
      </c>
      <c r="E33" s="2">
        <v>33650</v>
      </c>
      <c r="F33" s="3">
        <v>21806.105000000003</v>
      </c>
      <c r="G33" s="3">
        <v>31303.201000000001</v>
      </c>
      <c r="H33" s="5">
        <f t="shared" si="10"/>
        <v>69.66094298151809</v>
      </c>
      <c r="I33" s="6">
        <v>866.27546999999993</v>
      </c>
      <c r="J33" s="7">
        <v>0.2</v>
      </c>
      <c r="K33" s="5">
        <f t="shared" si="13"/>
        <v>866.47546999999997</v>
      </c>
      <c r="L33" s="6">
        <v>1922.2292199999999</v>
      </c>
      <c r="M33" s="7">
        <v>1027.64207644</v>
      </c>
      <c r="N33" s="7">
        <v>8.9399999999999993E-2</v>
      </c>
      <c r="O33" s="5">
        <f t="shared" si="11"/>
        <v>2949.96069644</v>
      </c>
      <c r="P33" s="6">
        <v>5321.6296000000002</v>
      </c>
      <c r="Q33" s="5">
        <f t="shared" si="12"/>
        <v>55.433408902415906</v>
      </c>
    </row>
    <row r="34" spans="1:17" ht="23.1" customHeight="1" x14ac:dyDescent="0.3">
      <c r="A34" s="50" t="s">
        <v>31</v>
      </c>
      <c r="B34" s="68">
        <v>501</v>
      </c>
      <c r="C34" s="69">
        <v>1002.3336666666667</v>
      </c>
      <c r="D34" s="70">
        <v>380.58185599999996</v>
      </c>
      <c r="E34" s="68">
        <v>43687</v>
      </c>
      <c r="F34" s="69">
        <v>26343.510999999999</v>
      </c>
      <c r="G34" s="69">
        <v>31743.769</v>
      </c>
      <c r="H34" s="71">
        <f t="shared" si="10"/>
        <v>82.987974742381724</v>
      </c>
      <c r="I34" s="72">
        <v>1551.33951</v>
      </c>
      <c r="J34" s="73">
        <v>0</v>
      </c>
      <c r="K34" s="71">
        <f t="shared" si="13"/>
        <v>1551.33951</v>
      </c>
      <c r="L34" s="72">
        <v>2235.8125099999997</v>
      </c>
      <c r="M34" s="73">
        <v>1897.41763745</v>
      </c>
      <c r="N34" s="73">
        <v>0</v>
      </c>
      <c r="O34" s="54">
        <f t="shared" si="11"/>
        <v>4133.23014745</v>
      </c>
      <c r="P34" s="65">
        <v>6708.3161520000003</v>
      </c>
      <c r="Q34" s="54">
        <f t="shared" si="12"/>
        <v>61.613526461744492</v>
      </c>
    </row>
    <row r="35" spans="1:17" ht="23.1" customHeight="1" x14ac:dyDescent="0.3">
      <c r="A35" s="74" t="s">
        <v>32</v>
      </c>
      <c r="B35" s="89">
        <f t="shared" ref="B35:G35" si="14">SUM(B23:B34)</f>
        <v>5869</v>
      </c>
      <c r="C35" s="89">
        <f t="shared" si="14"/>
        <v>10026.216333332532</v>
      </c>
      <c r="D35" s="89">
        <f t="shared" si="14"/>
        <v>4223.4384839999993</v>
      </c>
      <c r="E35" s="89">
        <f t="shared" si="14"/>
        <v>499617</v>
      </c>
      <c r="F35" s="89">
        <f t="shared" si="14"/>
        <v>333758.74501999997</v>
      </c>
      <c r="G35" s="89">
        <f t="shared" si="14"/>
        <v>410142.9664700001</v>
      </c>
      <c r="H35" s="89">
        <f t="shared" si="10"/>
        <v>81.376196181682602</v>
      </c>
      <c r="I35" s="89">
        <f>SUM(I23:I34)</f>
        <v>11203.18158</v>
      </c>
      <c r="J35" s="89">
        <f>SUM(J23:J34)</f>
        <v>1.8394999999999997</v>
      </c>
      <c r="K35" s="89">
        <f t="shared" si="13"/>
        <v>11205.02108</v>
      </c>
      <c r="L35" s="89">
        <f>SUM(L23:L34)</f>
        <v>29549.413237000001</v>
      </c>
      <c r="M35" s="89">
        <f>SUM(M23:M34)</f>
        <v>13840.907551956954</v>
      </c>
      <c r="N35" s="89">
        <f>SUM(N23:N34)</f>
        <v>5.8098145400000005</v>
      </c>
      <c r="O35" s="89">
        <f t="shared" si="11"/>
        <v>43396.130603496953</v>
      </c>
      <c r="P35" s="89">
        <f>SUM(P23:P34)</f>
        <v>79386.089420200005</v>
      </c>
      <c r="Q35" s="89">
        <f t="shared" si="12"/>
        <v>54.664653367413116</v>
      </c>
    </row>
    <row r="36" spans="1:17" ht="18.75" customHeight="1" x14ac:dyDescent="0.3">
      <c r="A36" s="103" t="s">
        <v>36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5"/>
    </row>
    <row r="37" spans="1:17" x14ac:dyDescent="0.3">
      <c r="A37" s="90" t="s">
        <v>33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</row>
    <row r="38" spans="1:17" x14ac:dyDescent="0.3">
      <c r="A38" s="90" t="s">
        <v>34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</row>
    <row r="39" spans="1:17" ht="40.5" customHeight="1" x14ac:dyDescent="0.3"/>
    <row r="40" spans="1:17" ht="28.9" customHeight="1" x14ac:dyDescent="0.3">
      <c r="O40" s="8" t="s">
        <v>37</v>
      </c>
    </row>
    <row r="41" spans="1:17" ht="178.5" customHeight="1" x14ac:dyDescent="0.3">
      <c r="H41" s="75"/>
      <c r="Q41" s="75"/>
    </row>
    <row r="42" spans="1:17" ht="25.5" customHeight="1" x14ac:dyDescent="0.3"/>
    <row r="43" spans="1:17" ht="25.5" customHeight="1" x14ac:dyDescent="0.3">
      <c r="H43" s="75"/>
      <c r="Q43" s="75"/>
    </row>
    <row r="44" spans="1:17" ht="25.5" customHeight="1" x14ac:dyDescent="0.3"/>
    <row r="45" spans="1:17" ht="25.5" customHeight="1" x14ac:dyDescent="0.3">
      <c r="H45" s="75"/>
      <c r="Q45" s="75"/>
    </row>
    <row r="46" spans="1:17" ht="25.5" customHeight="1" x14ac:dyDescent="0.3"/>
    <row r="47" spans="1:17" ht="25.5" customHeight="1" x14ac:dyDescent="0.3">
      <c r="H47" s="75"/>
      <c r="Q47" s="75"/>
    </row>
    <row r="48" spans="1:17" ht="25.5" customHeight="1" x14ac:dyDescent="0.3"/>
    <row r="49" spans="8:17" ht="25.5" customHeight="1" x14ac:dyDescent="0.3">
      <c r="H49" s="75"/>
      <c r="Q49" s="75"/>
    </row>
    <row r="50" spans="8:17" ht="25.5" customHeight="1" x14ac:dyDescent="0.3"/>
    <row r="51" spans="8:17" ht="25.5" customHeight="1" x14ac:dyDescent="0.3">
      <c r="H51" s="75"/>
      <c r="Q51" s="75"/>
    </row>
    <row r="52" spans="8:17" ht="25.5" customHeight="1" x14ac:dyDescent="0.3"/>
    <row r="53" spans="8:17" ht="25.5" customHeight="1" x14ac:dyDescent="0.3">
      <c r="H53" s="75"/>
      <c r="Q53" s="75"/>
    </row>
    <row r="54" spans="8:17" ht="25.5" customHeight="1" x14ac:dyDescent="0.3"/>
    <row r="55" spans="8:17" ht="22.5" customHeight="1" x14ac:dyDescent="0.3">
      <c r="H55" s="75"/>
      <c r="Q55" s="75"/>
    </row>
    <row r="56" spans="8:17" ht="22.5" customHeight="1" x14ac:dyDescent="0.3"/>
    <row r="57" spans="8:17" ht="22.5" customHeight="1" x14ac:dyDescent="0.3">
      <c r="H57" s="75"/>
      <c r="Q57" s="75"/>
    </row>
    <row r="58" spans="8:17" ht="47.25" customHeight="1" x14ac:dyDescent="0.3">
      <c r="H58" s="75"/>
      <c r="Q58" s="75"/>
    </row>
    <row r="59" spans="8:17" ht="28.9" customHeight="1" x14ac:dyDescent="0.3">
      <c r="H59" s="75"/>
      <c r="Q59" s="75"/>
    </row>
    <row r="60" spans="8:17" ht="164.25" customHeight="1" x14ac:dyDescent="0.3">
      <c r="H60" s="75"/>
      <c r="Q60" s="75"/>
    </row>
    <row r="61" spans="8:17" ht="24.75" customHeight="1" x14ac:dyDescent="0.3">
      <c r="H61" s="75"/>
      <c r="Q61" s="75"/>
    </row>
    <row r="62" spans="8:17" ht="24.75" customHeight="1" x14ac:dyDescent="0.3">
      <c r="H62" s="75"/>
      <c r="Q62" s="75"/>
    </row>
    <row r="63" spans="8:17" ht="24.75" customHeight="1" x14ac:dyDescent="0.3">
      <c r="H63" s="75"/>
      <c r="Q63" s="75"/>
    </row>
    <row r="64" spans="8:17" ht="24.75" customHeight="1" x14ac:dyDescent="0.3"/>
    <row r="65" ht="24.75" customHeight="1" x14ac:dyDescent="0.3"/>
    <row r="66" ht="24.75" customHeight="1" x14ac:dyDescent="0.3"/>
    <row r="67" ht="24.75" customHeight="1" x14ac:dyDescent="0.3"/>
    <row r="68" ht="24.7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83" spans="8:17" x14ac:dyDescent="0.3">
      <c r="H83" s="75"/>
      <c r="Q83" s="75"/>
    </row>
    <row r="86" spans="8:17" x14ac:dyDescent="0.3">
      <c r="H86" s="75"/>
      <c r="Q86" s="75"/>
    </row>
    <row r="88" spans="8:17" x14ac:dyDescent="0.3">
      <c r="H88" s="75"/>
      <c r="Q88" s="75"/>
    </row>
    <row r="90" spans="8:17" x14ac:dyDescent="0.3">
      <c r="H90" s="75"/>
      <c r="Q90" s="75"/>
    </row>
    <row r="92" spans="8:17" x14ac:dyDescent="0.3">
      <c r="H92" s="75"/>
      <c r="Q92" s="75"/>
    </row>
    <row r="94" spans="8:17" x14ac:dyDescent="0.3">
      <c r="H94" s="75"/>
      <c r="Q94" s="75"/>
    </row>
    <row r="96" spans="8:17" x14ac:dyDescent="0.3">
      <c r="H96" s="75"/>
      <c r="Q96" s="75"/>
    </row>
    <row r="98" spans="8:17" x14ac:dyDescent="0.3">
      <c r="H98" s="75"/>
      <c r="Q98" s="75"/>
    </row>
    <row r="100" spans="8:17" x14ac:dyDescent="0.3">
      <c r="H100" s="75"/>
      <c r="Q100" s="75"/>
    </row>
    <row r="102" spans="8:17" x14ac:dyDescent="0.3">
      <c r="H102" s="75"/>
      <c r="Q102" s="75"/>
    </row>
    <row r="103" spans="8:17" x14ac:dyDescent="0.3">
      <c r="Q103" s="75"/>
    </row>
    <row r="104" spans="8:17" x14ac:dyDescent="0.3">
      <c r="H104" s="75"/>
      <c r="Q104" s="75"/>
    </row>
    <row r="105" spans="8:17" x14ac:dyDescent="0.3">
      <c r="H105" s="75"/>
      <c r="Q105" s="75"/>
    </row>
    <row r="106" spans="8:17" x14ac:dyDescent="0.3">
      <c r="H106" s="75"/>
      <c r="Q106" s="75"/>
    </row>
    <row r="107" spans="8:17" x14ac:dyDescent="0.3">
      <c r="H107" s="75"/>
      <c r="Q107" s="75"/>
    </row>
    <row r="108" spans="8:17" x14ac:dyDescent="0.3">
      <c r="H108" s="75"/>
      <c r="Q108" s="75"/>
    </row>
    <row r="131" spans="8:17" x14ac:dyDescent="0.3">
      <c r="H131" s="75"/>
      <c r="Q131" s="75"/>
    </row>
    <row r="134" spans="8:17" x14ac:dyDescent="0.3">
      <c r="H134" s="75"/>
      <c r="Q134" s="75"/>
    </row>
    <row r="136" spans="8:17" x14ac:dyDescent="0.3">
      <c r="H136" s="75"/>
      <c r="Q136" s="75"/>
    </row>
    <row r="138" spans="8:17" x14ac:dyDescent="0.3">
      <c r="H138" s="75"/>
      <c r="Q138" s="75"/>
    </row>
    <row r="140" spans="8:17" x14ac:dyDescent="0.3">
      <c r="H140" s="75"/>
      <c r="Q140" s="75"/>
    </row>
    <row r="142" spans="8:17" x14ac:dyDescent="0.3">
      <c r="H142" s="75"/>
      <c r="Q142" s="75"/>
    </row>
    <row r="144" spans="8:17" x14ac:dyDescent="0.3">
      <c r="H144" s="75"/>
      <c r="Q144" s="75"/>
    </row>
    <row r="146" spans="8:17" x14ac:dyDescent="0.3">
      <c r="H146" s="75"/>
      <c r="Q146" s="75"/>
    </row>
    <row r="148" spans="8:17" x14ac:dyDescent="0.3">
      <c r="H148" s="75"/>
      <c r="Q148" s="75"/>
    </row>
    <row r="150" spans="8:17" x14ac:dyDescent="0.3">
      <c r="H150" s="75"/>
      <c r="Q150" s="75"/>
    </row>
    <row r="152" spans="8:17" x14ac:dyDescent="0.3">
      <c r="H152" s="75"/>
      <c r="Q152" s="75"/>
    </row>
    <row r="154" spans="8:17" x14ac:dyDescent="0.3">
      <c r="H154" s="75"/>
      <c r="Q154" s="75"/>
    </row>
    <row r="156" spans="8:17" x14ac:dyDescent="0.3">
      <c r="H156" s="75"/>
      <c r="Q156" s="75"/>
    </row>
    <row r="179" spans="8:17" x14ac:dyDescent="0.3">
      <c r="H179" s="75"/>
      <c r="Q179" s="75"/>
    </row>
    <row r="181" spans="8:17" x14ac:dyDescent="0.3">
      <c r="H181" s="75"/>
      <c r="Q181" s="75"/>
    </row>
    <row r="182" spans="8:17" x14ac:dyDescent="0.3">
      <c r="H182" s="75"/>
      <c r="Q182" s="75"/>
    </row>
    <row r="183" spans="8:17" x14ac:dyDescent="0.3">
      <c r="H183" s="75"/>
      <c r="Q183" s="75"/>
    </row>
    <row r="184" spans="8:17" x14ac:dyDescent="0.3">
      <c r="H184" s="75"/>
      <c r="Q184" s="75"/>
    </row>
    <row r="185" spans="8:17" x14ac:dyDescent="0.3">
      <c r="H185" s="75"/>
      <c r="Q185" s="75"/>
    </row>
    <row r="186" spans="8:17" x14ac:dyDescent="0.3">
      <c r="H186" s="75"/>
      <c r="Q186" s="75"/>
    </row>
    <row r="187" spans="8:17" x14ac:dyDescent="0.3">
      <c r="H187" s="75"/>
      <c r="Q187" s="75"/>
    </row>
    <row r="188" spans="8:17" x14ac:dyDescent="0.3">
      <c r="H188" s="75"/>
      <c r="Q188" s="75"/>
    </row>
    <row r="189" spans="8:17" x14ac:dyDescent="0.3">
      <c r="H189" s="75"/>
      <c r="Q189" s="75"/>
    </row>
    <row r="190" spans="8:17" x14ac:dyDescent="0.3">
      <c r="H190" s="75"/>
      <c r="Q190" s="75"/>
    </row>
    <row r="191" spans="8:17" x14ac:dyDescent="0.3">
      <c r="H191" s="75"/>
      <c r="Q191" s="75"/>
    </row>
    <row r="192" spans="8:17" x14ac:dyDescent="0.3">
      <c r="H192" s="75"/>
      <c r="Q192" s="75"/>
    </row>
    <row r="193" spans="8:17" x14ac:dyDescent="0.3">
      <c r="H193" s="75"/>
      <c r="Q193" s="75"/>
    </row>
    <row r="194" spans="8:17" x14ac:dyDescent="0.3">
      <c r="H194" s="75"/>
      <c r="Q194" s="75"/>
    </row>
    <row r="195" spans="8:17" x14ac:dyDescent="0.3">
      <c r="H195" s="75"/>
      <c r="Q195" s="75"/>
    </row>
    <row r="196" spans="8:17" x14ac:dyDescent="0.3">
      <c r="H196" s="75"/>
      <c r="Q196" s="75"/>
    </row>
    <row r="197" spans="8:17" x14ac:dyDescent="0.3">
      <c r="H197" s="75"/>
      <c r="Q197" s="75"/>
    </row>
    <row r="198" spans="8:17" x14ac:dyDescent="0.3">
      <c r="H198" s="75"/>
      <c r="Q198" s="75"/>
    </row>
    <row r="199" spans="8:17" x14ac:dyDescent="0.3">
      <c r="H199" s="75"/>
      <c r="Q199" s="75"/>
    </row>
    <row r="200" spans="8:17" x14ac:dyDescent="0.3">
      <c r="H200" s="75"/>
      <c r="Q200" s="75"/>
    </row>
    <row r="201" spans="8:17" x14ac:dyDescent="0.3">
      <c r="H201" s="75"/>
      <c r="Q201" s="75"/>
    </row>
    <row r="202" spans="8:17" x14ac:dyDescent="0.3">
      <c r="H202" s="75"/>
      <c r="Q202" s="75"/>
    </row>
    <row r="203" spans="8:17" x14ac:dyDescent="0.3">
      <c r="H203" s="75"/>
      <c r="Q203" s="75"/>
    </row>
    <row r="204" spans="8:17" x14ac:dyDescent="0.3">
      <c r="H204" s="75"/>
      <c r="Q204" s="75"/>
    </row>
    <row r="227" spans="8:17" x14ac:dyDescent="0.3">
      <c r="H227" s="75"/>
      <c r="Q227" s="75"/>
    </row>
    <row r="230" spans="8:17" x14ac:dyDescent="0.3">
      <c r="H230" s="75"/>
      <c r="Q230" s="75"/>
    </row>
    <row r="232" spans="8:17" x14ac:dyDescent="0.3">
      <c r="H232" s="75"/>
      <c r="Q232" s="75"/>
    </row>
    <row r="233" spans="8:17" x14ac:dyDescent="0.3">
      <c r="H233" s="75"/>
    </row>
    <row r="234" spans="8:17" x14ac:dyDescent="0.3">
      <c r="H234" s="75"/>
      <c r="Q234" s="75"/>
    </row>
    <row r="236" spans="8:17" x14ac:dyDescent="0.3">
      <c r="H236" s="75"/>
      <c r="Q236" s="75"/>
    </row>
    <row r="238" spans="8:17" x14ac:dyDescent="0.3">
      <c r="H238" s="75"/>
      <c r="Q238" s="75"/>
    </row>
    <row r="240" spans="8:17" x14ac:dyDescent="0.3">
      <c r="H240" s="75"/>
      <c r="Q240" s="75"/>
    </row>
    <row r="242" spans="8:17" x14ac:dyDescent="0.3">
      <c r="H242" s="75"/>
      <c r="Q242" s="75"/>
    </row>
    <row r="244" spans="8:17" x14ac:dyDescent="0.3">
      <c r="H244" s="75"/>
      <c r="Q244" s="75"/>
    </row>
    <row r="246" spans="8:17" x14ac:dyDescent="0.3">
      <c r="H246" s="75"/>
      <c r="Q246" s="75"/>
    </row>
    <row r="247" spans="8:17" x14ac:dyDescent="0.3">
      <c r="H247" s="75"/>
      <c r="Q247" s="75"/>
    </row>
    <row r="248" spans="8:17" x14ac:dyDescent="0.3">
      <c r="H248" s="75"/>
      <c r="Q248" s="75"/>
    </row>
    <row r="249" spans="8:17" x14ac:dyDescent="0.3">
      <c r="H249" s="75"/>
      <c r="Q249" s="75"/>
    </row>
    <row r="250" spans="8:17" x14ac:dyDescent="0.3">
      <c r="H250" s="75"/>
      <c r="Q250" s="75"/>
    </row>
    <row r="251" spans="8:17" x14ac:dyDescent="0.3">
      <c r="H251" s="75"/>
      <c r="Q251" s="75"/>
    </row>
    <row r="252" spans="8:17" x14ac:dyDescent="0.3">
      <c r="H252" s="75"/>
      <c r="Q252" s="75"/>
    </row>
    <row r="254" spans="8:17" x14ac:dyDescent="0.3">
      <c r="H254" s="75"/>
    </row>
    <row r="273" spans="8:17" x14ac:dyDescent="0.3">
      <c r="H273" s="75"/>
      <c r="Q273" s="75"/>
    </row>
    <row r="276" spans="8:17" x14ac:dyDescent="0.3">
      <c r="H276" s="75"/>
      <c r="Q276" s="75"/>
    </row>
    <row r="278" spans="8:17" x14ac:dyDescent="0.3">
      <c r="H278" s="75"/>
      <c r="Q278" s="75"/>
    </row>
    <row r="280" spans="8:17" x14ac:dyDescent="0.3">
      <c r="H280" s="75"/>
      <c r="Q280" s="75"/>
    </row>
    <row r="282" spans="8:17" x14ac:dyDescent="0.3">
      <c r="H282" s="75"/>
      <c r="Q282" s="75"/>
    </row>
    <row r="284" spans="8:17" x14ac:dyDescent="0.3">
      <c r="H284" s="75"/>
      <c r="Q284" s="75"/>
    </row>
    <row r="286" spans="8:17" x14ac:dyDescent="0.3">
      <c r="H286" s="75"/>
      <c r="Q286" s="75"/>
    </row>
    <row r="288" spans="8:17" x14ac:dyDescent="0.3">
      <c r="H288" s="75"/>
      <c r="Q288" s="75"/>
    </row>
    <row r="290" spans="8:17" x14ac:dyDescent="0.3">
      <c r="H290" s="75"/>
      <c r="Q290" s="75"/>
    </row>
    <row r="292" spans="8:17" x14ac:dyDescent="0.3">
      <c r="H292" s="75"/>
      <c r="Q292" s="75"/>
    </row>
    <row r="294" spans="8:17" x14ac:dyDescent="0.3">
      <c r="H294" s="75"/>
      <c r="Q294" s="75"/>
    </row>
    <row r="296" spans="8:17" x14ac:dyDescent="0.3">
      <c r="H296" s="75"/>
      <c r="Q296" s="75"/>
    </row>
    <row r="298" spans="8:17" x14ac:dyDescent="0.3">
      <c r="H298" s="75"/>
      <c r="Q298" s="75"/>
    </row>
    <row r="324" spans="8:17" x14ac:dyDescent="0.3">
      <c r="Q324" s="75"/>
    </row>
    <row r="326" spans="8:17" x14ac:dyDescent="0.3">
      <c r="H326" s="75"/>
      <c r="Q326" s="75"/>
    </row>
    <row r="328" spans="8:17" x14ac:dyDescent="0.3">
      <c r="H328" s="75"/>
    </row>
    <row r="330" spans="8:17" x14ac:dyDescent="0.3">
      <c r="H330" s="75"/>
      <c r="Q330" s="75"/>
    </row>
    <row r="358" spans="8:17" x14ac:dyDescent="0.3">
      <c r="H358" s="75"/>
    </row>
    <row r="360" spans="8:17" x14ac:dyDescent="0.3">
      <c r="Q360" s="75"/>
    </row>
    <row r="361" spans="8:17" x14ac:dyDescent="0.3">
      <c r="Q361" s="75"/>
    </row>
    <row r="362" spans="8:17" x14ac:dyDescent="0.3">
      <c r="Q362" s="75"/>
    </row>
    <row r="363" spans="8:17" x14ac:dyDescent="0.3">
      <c r="Q363" s="75"/>
    </row>
    <row r="364" spans="8:17" x14ac:dyDescent="0.3">
      <c r="H364" s="75"/>
      <c r="Q364" s="75"/>
    </row>
    <row r="366" spans="8:17" x14ac:dyDescent="0.3">
      <c r="H366" s="75"/>
      <c r="Q366" s="75"/>
    </row>
    <row r="369" spans="17:17" x14ac:dyDescent="0.3">
      <c r="Q369" s="75"/>
    </row>
    <row r="393" spans="8:17" x14ac:dyDescent="0.3">
      <c r="Q393" s="75"/>
    </row>
    <row r="394" spans="8:17" x14ac:dyDescent="0.3">
      <c r="H394" s="75"/>
      <c r="Q394" s="75"/>
    </row>
    <row r="395" spans="8:17" x14ac:dyDescent="0.3">
      <c r="H395" s="75"/>
      <c r="Q395" s="75"/>
    </row>
    <row r="396" spans="8:17" x14ac:dyDescent="0.3">
      <c r="H396" s="75"/>
      <c r="Q396" s="75"/>
    </row>
    <row r="397" spans="8:17" x14ac:dyDescent="0.3">
      <c r="H397" s="75"/>
      <c r="Q397" s="75"/>
    </row>
    <row r="398" spans="8:17" x14ac:dyDescent="0.3">
      <c r="H398" s="75"/>
      <c r="Q398" s="75"/>
    </row>
    <row r="399" spans="8:17" x14ac:dyDescent="0.3">
      <c r="H399" s="75"/>
      <c r="Q399" s="75"/>
    </row>
    <row r="401" spans="8:17" x14ac:dyDescent="0.3">
      <c r="H401" s="75"/>
      <c r="Q401" s="75"/>
    </row>
    <row r="455" spans="13:13" x14ac:dyDescent="0.3">
      <c r="M455" s="76"/>
    </row>
    <row r="456" spans="13:13" x14ac:dyDescent="0.3">
      <c r="M456" s="8" t="s">
        <v>35</v>
      </c>
    </row>
  </sheetData>
  <mergeCells count="32"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rintOptions gridLines="1"/>
  <pageMargins left="0.70866141732283472" right="0.70866141732283472" top="0.74803149606299213" bottom="0.51181102362204722" header="0.31496062992125984" footer="0.31496062992125984"/>
  <pageSetup scale="60" firstPageNumber="76" orientation="landscape" useFirstPageNumber="1" r:id="rId1"/>
  <headerFooter alignWithMargins="0"/>
  <rowBreaks count="1" manualBreakCount="1">
    <brk id="1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2023-05-22T09:20:58Z</cp:lastPrinted>
  <dcterms:created xsi:type="dcterms:W3CDTF">2021-03-02T10:01:37Z</dcterms:created>
  <dcterms:modified xsi:type="dcterms:W3CDTF">2024-01-17T07:27:45Z</dcterms:modified>
</cp:coreProperties>
</file>