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8835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MONTHWISE!$A$1:$N$91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D13" i="2" l="1"/>
  <c r="E13" i="2"/>
  <c r="F13" i="2"/>
  <c r="G13" i="2"/>
  <c r="H13" i="2"/>
  <c r="I13" i="2"/>
  <c r="J13" i="2"/>
  <c r="K13" i="2"/>
  <c r="L13" i="2"/>
  <c r="M13" i="2"/>
  <c r="N13" i="2"/>
  <c r="C13" i="2"/>
  <c r="D88" i="2" l="1"/>
  <c r="E88" i="2"/>
  <c r="F88" i="2"/>
  <c r="G88" i="2"/>
  <c r="H88" i="2"/>
  <c r="I88" i="2"/>
  <c r="J88" i="2"/>
  <c r="K88" i="2"/>
  <c r="L88" i="2"/>
  <c r="M88" i="2"/>
  <c r="N88" i="2"/>
  <c r="C88" i="2"/>
  <c r="D89" i="2" l="1"/>
  <c r="E89" i="2"/>
  <c r="F89" i="2"/>
  <c r="G89" i="2"/>
  <c r="H89" i="2"/>
  <c r="I89" i="2"/>
  <c r="J89" i="2"/>
  <c r="K89" i="2"/>
  <c r="L89" i="2"/>
  <c r="M89" i="2"/>
  <c r="N89" i="2"/>
  <c r="C89" i="2" l="1"/>
</calcChain>
</file>

<file path=xl/sharedStrings.xml><?xml version="1.0" encoding="utf-8"?>
<sst xmlns="http://schemas.openxmlformats.org/spreadsheetml/2006/main" count="106" uniqueCount="98">
  <si>
    <t>NAME OF THE AIRLINE</t>
  </si>
  <si>
    <t>AIR INDIA</t>
  </si>
  <si>
    <t>AEROFLOT</t>
  </si>
  <si>
    <t>AEROLOGIC</t>
  </si>
  <si>
    <t>AIR ARABIA</t>
  </si>
  <si>
    <t>BIMAN BANGLADESH</t>
  </si>
  <si>
    <t>CATHAY PACIFIC</t>
  </si>
  <si>
    <t>DRUK AIR</t>
  </si>
  <si>
    <t>FEDERAL EXPRESS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</si>
  <si>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</si>
  <si>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</si>
  <si>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</si>
  <si>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</si>
  <si>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</si>
  <si>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</si>
  <si>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</si>
  <si>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</si>
  <si>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</si>
  <si>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</si>
  <si>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TURKISH AIRLINES</t>
  </si>
  <si>
    <t>UNITED AIRLINES</t>
  </si>
  <si>
    <t>VIRGIN ATLANTIC AIRLINES</t>
  </si>
  <si>
    <t>YEMENIA AIRWAYS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</si>
  <si>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</si>
  <si>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</si>
  <si>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</si>
  <si>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</si>
  <si>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</si>
  <si>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</si>
  <si>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</si>
  <si>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SL. No.</t>
  </si>
  <si>
    <t>EMIRATES AIRLINE</t>
  </si>
  <si>
    <t>ETHIOPIAN AIRLINES</t>
  </si>
  <si>
    <t>GULF AIR</t>
  </si>
  <si>
    <t>SWISS AIR</t>
  </si>
  <si>
    <t>AIR CANADA</t>
  </si>
  <si>
    <t>AIR FRANCE</t>
  </si>
  <si>
    <t>KLM AIRLINES</t>
  </si>
  <si>
    <t>THAI AIRWAYS</t>
  </si>
  <si>
    <t>ALL NIPPON AIRWAYS</t>
  </si>
  <si>
    <t>AIR ASIA X</t>
  </si>
  <si>
    <t>AIR MAURITIUS</t>
  </si>
  <si>
    <t>KUWAIT AIRWAYS</t>
  </si>
  <si>
    <t>MALINDO AIRWAYS</t>
  </si>
  <si>
    <t>FLY DUBAI</t>
  </si>
  <si>
    <t>MYANMAR AIRLINES</t>
  </si>
  <si>
    <t>NEPAL AIRLINES CORPORATION</t>
  </si>
  <si>
    <t>AIR SEYCHELLES</t>
  </si>
  <si>
    <t>JAZEERA AIRWAYS</t>
  </si>
  <si>
    <t>AIR INDIA EXPRESS</t>
  </si>
  <si>
    <t>INDIGO</t>
  </si>
  <si>
    <t>SPICEJET</t>
  </si>
  <si>
    <t>AIR ASIA BERHAD</t>
  </si>
  <si>
    <t>CHINA AIRLINES LTD</t>
  </si>
  <si>
    <t>FLYNAS</t>
  </si>
  <si>
    <t>SCOOT TIGER AIR</t>
  </si>
  <si>
    <t>SINGAPORE AIRLINES</t>
  </si>
  <si>
    <t>US BANGLA AIRLINES</t>
  </si>
  <si>
    <t>AIR ARABIA-ABU DHABI</t>
  </si>
  <si>
    <t>AIR TANZANIA</t>
  </si>
  <si>
    <t>AMERICAN AIRLINES</t>
  </si>
  <si>
    <t>ARIANA AFGHAN</t>
  </si>
  <si>
    <t>QANTAS AIRLINES</t>
  </si>
  <si>
    <t>SAUDIA</t>
  </si>
  <si>
    <t>BRITISH AIRWAYS</t>
  </si>
  <si>
    <t>THAI AIR ASIA</t>
  </si>
  <si>
    <t>THAI LION AIR</t>
  </si>
  <si>
    <t>VIETJET AIR</t>
  </si>
  <si>
    <t>AZERBAIJAN AIRLINES</t>
  </si>
  <si>
    <t>ALLIANCE AIR</t>
  </si>
  <si>
    <t>AERO NOMAD</t>
  </si>
  <si>
    <t>BHUTAN AIRLINES</t>
  </si>
  <si>
    <t>NEOS SPA</t>
  </si>
  <si>
    <t>VIETNAM AIRLINES</t>
  </si>
  <si>
    <t>BUDDHA AIR</t>
  </si>
  <si>
    <t>SALAM AIR</t>
  </si>
  <si>
    <t>UZBEKISTAN AIRWAYS</t>
  </si>
  <si>
    <t>AIR ASTANA</t>
  </si>
  <si>
    <t>EGYPT AIR</t>
  </si>
  <si>
    <t>ETIHAD AIRLINES</t>
  </si>
  <si>
    <t>FINN AIR</t>
  </si>
  <si>
    <t>IRAN AIR</t>
  </si>
  <si>
    <t>LOT POLISH</t>
  </si>
  <si>
    <t>UNITED PARCEL SERVICES</t>
  </si>
  <si>
    <t>AKASA AIR</t>
  </si>
  <si>
    <t>VISTARA AIRLINES</t>
  </si>
  <si>
    <t>DOMESTIC OPERATORS</t>
  </si>
  <si>
    <t>TOTAL (DOMESTIC OPERATORS)</t>
  </si>
  <si>
    <t xml:space="preserve">FOREIGN OPERATORS </t>
  </si>
  <si>
    <t>TOTAL (FOREIGN OPERATORS)</t>
  </si>
  <si>
    <t>TOTAL (DOMESTIC &amp; FOREIGN OPERATORS)</t>
  </si>
  <si>
    <t>Note: This table does not include the passengers and freight carried by domestic operators entirely outside the Indian territory.</t>
  </si>
  <si>
    <t>FITS AVIATION</t>
  </si>
  <si>
    <t>OCTOBER</t>
  </si>
  <si>
    <t>NOVEMBER</t>
  </si>
  <si>
    <t>DECEMBER</t>
  </si>
  <si>
    <t>SCAT AIRLINES</t>
  </si>
  <si>
    <t>TABLE 2. AIRLINEWISE MONTHLY INTERNATIONAL TRAFFIC STATISTICS (SCHEDULED) FOR THE QUARTER OCTOBER-DECEMBER 2024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</si>
</sst>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0.0"/>
    <numFmt numFmtId="166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165" fontId="4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top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165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66" fontId="7" fillId="0" borderId="1" xfId="1" applyNumberFormat="1" applyFont="1" applyBorder="1" applyAlignment="1">
      <alignment horizontal="right" vertical="center"/>
    </xf>
    <xf numFmtId="166" fontId="7" fillId="0" borderId="1" xfId="1" applyNumberFormat="1" applyFont="1" applyFill="1" applyBorder="1" applyAlignment="1">
      <alignment horizontal="right" vertical="center"/>
    </xf>
    <xf numFmtId="166" fontId="6" fillId="4" borderId="1" xfId="1" applyNumberFormat="1" applyFont="1" applyFill="1" applyBorder="1" applyAlignment="1">
      <alignment horizontal="right" vertical="center"/>
    </xf>
    <xf numFmtId="166" fontId="4" fillId="2" borderId="1" xfId="1" applyNumberFormat="1" applyFont="1" applyFill="1" applyBorder="1" applyAlignment="1">
      <alignment horizontal="right" vertical="center" wrapText="1"/>
    </xf>
    <xf numFmtId="166" fontId="4" fillId="4" borderId="1" xfId="1" applyNumberFormat="1" applyFont="1" applyFill="1" applyBorder="1" applyAlignment="1">
      <alignment horizontal="right" vertical="center"/>
    </xf>
    <xf numFmtId="166" fontId="6" fillId="3" borderId="1" xfId="1" applyNumberFormat="1" applyFont="1" applyFill="1" applyBorder="1" applyAlignment="1">
      <alignment horizontal="right" vertical="center"/>
    </xf>
    <xf numFmtId="166" fontId="2" fillId="0" borderId="0" xfId="1" applyNumberFormat="1" applyFont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1"/>
  <sheetViews>
    <sheetView tabSelected="1" view="pageBreakPreview" zoomScale="70" zoomScaleNormal="55" zoomScaleSheetLayoutView="70" workbookViewId="0">
      <selection activeCell="I51" sqref="I51"/>
    </sheetView>
  </sheetViews>
  <sheetFormatPr defaultRowHeight="16.5" customHeight="1" x14ac:dyDescent="0.25"/>
  <cols>
    <col min="1" max="1" width="9" style="12" customWidth="1"/>
    <col min="2" max="2" width="41.5703125" style="13" customWidth="1"/>
    <col min="3" max="3" width="15.85546875" style="26" customWidth="1"/>
    <col min="4" max="4" width="17" style="26" customWidth="1"/>
    <col min="5" max="5" width="15.85546875" style="19" customWidth="1"/>
    <col min="6" max="6" width="16.7109375" style="19" customWidth="1"/>
    <col min="7" max="8" width="16.85546875" style="26" customWidth="1"/>
    <col min="9" max="9" width="13.28515625" style="19" customWidth="1"/>
    <col min="10" max="10" width="15.28515625" style="19" customWidth="1"/>
    <col min="11" max="11" width="15.5703125" style="26" customWidth="1"/>
    <col min="12" max="12" width="17" style="26" customWidth="1"/>
    <col min="13" max="13" width="12.28515625" style="19" customWidth="1"/>
    <col min="14" max="14" width="16" style="19" customWidth="1"/>
    <col min="15" max="19" width="12.42578125" style="1" customWidth="1"/>
    <col min="20" max="16384" width="9.140625" style="1"/>
  </cols>
  <sheetData>
    <row r="1" spans="1:14" ht="56.25" customHeight="1" x14ac:dyDescent="0.25">
      <c r="A1" s="36" t="s">
        <v>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s="2" customFormat="1" ht="16.5" customHeight="1" x14ac:dyDescent="0.25">
      <c r="A2" s="37" t="s">
        <v>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6.5" customHeight="1" x14ac:dyDescent="0.25">
      <c r="A3" s="38" t="s">
        <v>30</v>
      </c>
      <c r="B3" s="40" t="s">
        <v>0</v>
      </c>
      <c r="C3" s="42" t="s">
        <v>93</v>
      </c>
      <c r="D3" s="43"/>
      <c r="E3" s="43"/>
      <c r="F3" s="44"/>
      <c r="G3" s="42" t="s">
        <v>94</v>
      </c>
      <c r="H3" s="43"/>
      <c r="I3" s="43"/>
      <c r="J3" s="44"/>
      <c r="K3" s="42" t="s">
        <v>95</v>
      </c>
      <c r="L3" s="43"/>
      <c r="M3" s="43"/>
      <c r="N3" s="44"/>
    </row>
    <row r="4" spans="1:14" s="6" customFormat="1" ht="41.25" customHeight="1" x14ac:dyDescent="0.25">
      <c r="A4" s="39"/>
      <c r="B4" s="41"/>
      <c r="C4" s="23" t="s">
        <v>24</v>
      </c>
      <c r="D4" s="23" t="s">
        <v>25</v>
      </c>
      <c r="E4" s="14" t="s">
        <v>26</v>
      </c>
      <c r="F4" s="14" t="s">
        <v>27</v>
      </c>
      <c r="G4" s="23" t="s">
        <v>24</v>
      </c>
      <c r="H4" s="23" t="s">
        <v>25</v>
      </c>
      <c r="I4" s="14" t="s">
        <v>26</v>
      </c>
      <c r="J4" s="14" t="s">
        <v>27</v>
      </c>
      <c r="K4" s="23" t="s">
        <v>24</v>
      </c>
      <c r="L4" s="23" t="s">
        <v>25</v>
      </c>
      <c r="M4" s="14" t="s">
        <v>26</v>
      </c>
      <c r="N4" s="14" t="s">
        <v>27</v>
      </c>
    </row>
    <row r="5" spans="1:14" ht="16.5" customHeight="1" x14ac:dyDescent="0.25">
      <c r="A5" s="31" t="s">
        <v>86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s="4" customFormat="1" ht="16.5" customHeight="1" x14ac:dyDescent="0.25">
      <c r="A6" s="3">
        <v>1</v>
      </c>
      <c r="B6" s="9" t="s">
        <v>1</v>
      </c>
      <c r="C6" s="20">
        <v>392392</v>
      </c>
      <c r="D6" s="20">
        <v>330228</v>
      </c>
      <c r="E6" s="15">
        <v>5298.1715999999997</v>
      </c>
      <c r="F6" s="15">
        <v>8568.5245999999988</v>
      </c>
      <c r="G6" s="20">
        <v>447844</v>
      </c>
      <c r="H6" s="20">
        <v>405648</v>
      </c>
      <c r="I6" s="15">
        <v>5601.2374</v>
      </c>
      <c r="J6" s="15">
        <v>7426.7857000000004</v>
      </c>
      <c r="K6" s="20">
        <v>519197</v>
      </c>
      <c r="L6" s="20">
        <v>467580</v>
      </c>
      <c r="M6" s="15">
        <v>6745.4556000000002</v>
      </c>
      <c r="N6" s="15">
        <v>8401.8590999999997</v>
      </c>
    </row>
    <row r="7" spans="1:14" s="4" customFormat="1" ht="16.5" customHeight="1" x14ac:dyDescent="0.25">
      <c r="A7" s="3">
        <v>2</v>
      </c>
      <c r="B7" s="9" t="s">
        <v>49</v>
      </c>
      <c r="C7" s="20">
        <v>235537</v>
      </c>
      <c r="D7" s="20">
        <v>267206</v>
      </c>
      <c r="E7" s="16">
        <v>0</v>
      </c>
      <c r="F7" s="16">
        <v>0</v>
      </c>
      <c r="G7" s="20">
        <v>252872</v>
      </c>
      <c r="H7" s="20">
        <v>255875</v>
      </c>
      <c r="I7" s="16">
        <v>1518.9130000000002</v>
      </c>
      <c r="J7" s="16">
        <v>4637.0454</v>
      </c>
      <c r="K7" s="20">
        <v>283553</v>
      </c>
      <c r="L7" s="20">
        <v>264469</v>
      </c>
      <c r="M7" s="16">
        <v>2685.1765472819252</v>
      </c>
      <c r="N7" s="16">
        <v>4570.2182523386018</v>
      </c>
    </row>
    <row r="8" spans="1:14" s="4" customFormat="1" ht="16.5" customHeight="1" x14ac:dyDescent="0.25">
      <c r="A8" s="3">
        <v>3</v>
      </c>
      <c r="B8" s="9" t="s">
        <v>84</v>
      </c>
      <c r="C8" s="20">
        <v>18072</v>
      </c>
      <c r="D8" s="20">
        <v>21443</v>
      </c>
      <c r="E8" s="15">
        <v>0</v>
      </c>
      <c r="F8" s="15">
        <v>122.509</v>
      </c>
      <c r="G8" s="20">
        <v>21979</v>
      </c>
      <c r="H8" s="20">
        <v>19332</v>
      </c>
      <c r="I8" s="15">
        <v>0</v>
      </c>
      <c r="J8" s="15">
        <v>99.203999999999994</v>
      </c>
      <c r="K8" s="20">
        <v>23689</v>
      </c>
      <c r="L8" s="20">
        <v>24274</v>
      </c>
      <c r="M8" s="15">
        <v>0</v>
      </c>
      <c r="N8" s="15">
        <v>107.289</v>
      </c>
    </row>
    <row r="9" spans="1:14" s="4" customFormat="1" ht="16.5" customHeight="1" x14ac:dyDescent="0.25">
      <c r="A9" s="3">
        <v>4</v>
      </c>
      <c r="B9" s="9" t="s">
        <v>69</v>
      </c>
      <c r="C9" s="20">
        <v>174</v>
      </c>
      <c r="D9" s="20">
        <v>125</v>
      </c>
      <c r="E9" s="15">
        <v>0</v>
      </c>
      <c r="F9" s="15">
        <v>0</v>
      </c>
      <c r="G9" s="20">
        <v>62</v>
      </c>
      <c r="H9" s="20">
        <v>43</v>
      </c>
      <c r="I9" s="15">
        <v>0</v>
      </c>
      <c r="J9" s="15">
        <v>0</v>
      </c>
      <c r="K9" s="20"/>
      <c r="L9" s="20"/>
      <c r="M9" s="15">
        <v>0</v>
      </c>
      <c r="N9" s="15">
        <v>0</v>
      </c>
    </row>
    <row r="10" spans="1:14" s="4" customFormat="1" ht="16.5" customHeight="1" x14ac:dyDescent="0.25">
      <c r="A10" s="3">
        <v>5</v>
      </c>
      <c r="B10" s="9" t="s">
        <v>50</v>
      </c>
      <c r="C10" s="20">
        <v>615406</v>
      </c>
      <c r="D10" s="20">
        <v>558335</v>
      </c>
      <c r="E10" s="15">
        <v>916.32399999999996</v>
      </c>
      <c r="F10" s="15">
        <v>3256.7910000000002</v>
      </c>
      <c r="G10" s="20">
        <v>611513</v>
      </c>
      <c r="H10" s="20">
        <v>586642</v>
      </c>
      <c r="I10" s="15">
        <v>699.11099999999999</v>
      </c>
      <c r="J10" s="15">
        <v>2410.067</v>
      </c>
      <c r="K10" s="20">
        <v>684363</v>
      </c>
      <c r="L10" s="20">
        <v>651123</v>
      </c>
      <c r="M10" s="15">
        <v>883.71500000000003</v>
      </c>
      <c r="N10" s="15">
        <v>2688.9609999999998</v>
      </c>
    </row>
    <row r="11" spans="1:14" s="4" customFormat="1" ht="16.5" customHeight="1" x14ac:dyDescent="0.25">
      <c r="A11" s="3">
        <v>6</v>
      </c>
      <c r="B11" s="9" t="s">
        <v>51</v>
      </c>
      <c r="C11" s="20">
        <v>56484</v>
      </c>
      <c r="D11" s="20">
        <v>55902</v>
      </c>
      <c r="E11" s="15">
        <v>100.23413000000001</v>
      </c>
      <c r="F11" s="15">
        <v>676.27860999999984</v>
      </c>
      <c r="G11" s="20">
        <v>65022</v>
      </c>
      <c r="H11" s="20">
        <v>65702</v>
      </c>
      <c r="I11" s="15">
        <v>74.441749999999999</v>
      </c>
      <c r="J11" s="15">
        <v>551.53273999999999</v>
      </c>
      <c r="K11" s="20">
        <v>65913</v>
      </c>
      <c r="L11" s="20">
        <v>67746</v>
      </c>
      <c r="M11" s="15">
        <v>72.873999999999995</v>
      </c>
      <c r="N11" s="15">
        <v>655.01102000000003</v>
      </c>
    </row>
    <row r="12" spans="1:14" s="4" customFormat="1" ht="16.5" customHeight="1" x14ac:dyDescent="0.25">
      <c r="A12" s="3">
        <v>7</v>
      </c>
      <c r="B12" s="9" t="s">
        <v>85</v>
      </c>
      <c r="C12" s="20">
        <v>116180</v>
      </c>
      <c r="D12" s="20">
        <v>97710</v>
      </c>
      <c r="E12" s="15">
        <v>1234.3127899999999</v>
      </c>
      <c r="F12" s="15">
        <v>1947.2194100000002</v>
      </c>
      <c r="G12" s="20">
        <v>39741</v>
      </c>
      <c r="H12" s="20">
        <v>40030</v>
      </c>
      <c r="I12" s="15">
        <v>230.61528000000001</v>
      </c>
      <c r="J12" s="15">
        <v>230.70988999999997</v>
      </c>
      <c r="K12" s="20"/>
      <c r="L12" s="20"/>
      <c r="M12" s="15">
        <v>0</v>
      </c>
      <c r="N12" s="15">
        <v>0</v>
      </c>
    </row>
    <row r="13" spans="1:14" ht="16.5" customHeight="1" x14ac:dyDescent="0.25">
      <c r="A13" s="32" t="s">
        <v>87</v>
      </c>
      <c r="B13" s="32"/>
      <c r="C13" s="24">
        <f>SUM(C6:C12)</f>
        <v>1434245</v>
      </c>
      <c r="D13" s="24">
        <f>SUM(D6:D12)</f>
        <v>1330949</v>
      </c>
      <c r="E13" s="7">
        <f t="shared" ref="E13:N13" si="0">SUM(E6:E12)</f>
        <v>7549.0425199999991</v>
      </c>
      <c r="F13" s="7">
        <f t="shared" si="0"/>
        <v>14571.322619999999</v>
      </c>
      <c r="G13" s="24">
        <f t="shared" si="0"/>
        <v>1439033</v>
      </c>
      <c r="H13" s="24">
        <f t="shared" si="0"/>
        <v>1373272</v>
      </c>
      <c r="I13" s="7">
        <f t="shared" si="0"/>
        <v>8124.3184300000003</v>
      </c>
      <c r="J13" s="7">
        <f t="shared" si="0"/>
        <v>15355.344730000001</v>
      </c>
      <c r="K13" s="24">
        <f t="shared" si="0"/>
        <v>1576715</v>
      </c>
      <c r="L13" s="24">
        <f t="shared" si="0"/>
        <v>1475192</v>
      </c>
      <c r="M13" s="7">
        <f t="shared" si="0"/>
        <v>10387.221147281925</v>
      </c>
      <c r="N13" s="7">
        <f t="shared" si="0"/>
        <v>16423.338372338603</v>
      </c>
    </row>
    <row r="14" spans="1:14" ht="16.5" customHeight="1" x14ac:dyDescent="0.25">
      <c r="A14" s="33" t="s">
        <v>88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</row>
    <row r="15" spans="1:14" ht="16.5" customHeight="1" x14ac:dyDescent="0.25">
      <c r="A15" s="10">
        <v>1</v>
      </c>
      <c r="B15" s="9" t="s">
        <v>70</v>
      </c>
      <c r="C15" s="20">
        <v>240</v>
      </c>
      <c r="D15" s="20">
        <v>1526</v>
      </c>
      <c r="E15" s="15">
        <v>0</v>
      </c>
      <c r="F15" s="15">
        <v>0</v>
      </c>
      <c r="G15" s="20">
        <v>211</v>
      </c>
      <c r="H15" s="20">
        <v>512</v>
      </c>
      <c r="I15" s="15">
        <v>0</v>
      </c>
      <c r="J15" s="15">
        <v>0</v>
      </c>
      <c r="K15" s="20">
        <v>176</v>
      </c>
      <c r="L15" s="20">
        <v>176</v>
      </c>
      <c r="M15" s="15">
        <v>0</v>
      </c>
      <c r="N15" s="15">
        <v>0</v>
      </c>
    </row>
    <row r="16" spans="1:14" ht="16.5" customHeight="1" x14ac:dyDescent="0.25">
      <c r="A16" s="10">
        <v>2</v>
      </c>
      <c r="B16" s="9" t="s">
        <v>2</v>
      </c>
      <c r="C16" s="20">
        <v>11730</v>
      </c>
      <c r="D16" s="20">
        <v>9849</v>
      </c>
      <c r="E16" s="16">
        <v>35.579000000000001</v>
      </c>
      <c r="F16" s="16">
        <v>234.227</v>
      </c>
      <c r="G16" s="20">
        <v>12869</v>
      </c>
      <c r="H16" s="20">
        <v>13418</v>
      </c>
      <c r="I16" s="15">
        <v>47.338000000000001</v>
      </c>
      <c r="J16" s="15">
        <v>246.898</v>
      </c>
      <c r="K16" s="20">
        <v>13437</v>
      </c>
      <c r="L16" s="20">
        <v>12478</v>
      </c>
      <c r="M16" s="15">
        <v>6.7329999999999997</v>
      </c>
      <c r="N16" s="15">
        <v>123.33</v>
      </c>
    </row>
    <row r="17" spans="1:17" ht="16.5" customHeight="1" x14ac:dyDescent="0.25">
      <c r="A17" s="10">
        <v>3</v>
      </c>
      <c r="B17" s="9" t="s">
        <v>3</v>
      </c>
      <c r="C17" s="20">
        <v>0</v>
      </c>
      <c r="D17" s="20">
        <v>0</v>
      </c>
      <c r="E17" s="15">
        <v>5997.4970000000003</v>
      </c>
      <c r="F17" s="15">
        <v>6022.3389999999999</v>
      </c>
      <c r="G17" s="20">
        <v>0</v>
      </c>
      <c r="H17" s="20">
        <v>0</v>
      </c>
      <c r="I17" s="15">
        <v>5743.2730000000001</v>
      </c>
      <c r="J17" s="15">
        <v>5611.3389999999999</v>
      </c>
      <c r="K17" s="21">
        <v>0</v>
      </c>
      <c r="L17" s="21">
        <v>0</v>
      </c>
      <c r="M17" s="16">
        <v>5818.1890000000003</v>
      </c>
      <c r="N17" s="16">
        <v>5470.8090000000002</v>
      </c>
    </row>
    <row r="18" spans="1:17" ht="16.5" customHeight="1" x14ac:dyDescent="0.25">
      <c r="A18" s="10">
        <v>4</v>
      </c>
      <c r="B18" s="9" t="s">
        <v>4</v>
      </c>
      <c r="C18" s="20">
        <v>77751</v>
      </c>
      <c r="D18" s="20">
        <v>75042</v>
      </c>
      <c r="E18" s="15">
        <v>123.21599999999999</v>
      </c>
      <c r="F18" s="15">
        <v>1116.4780000000001</v>
      </c>
      <c r="G18" s="20">
        <v>77809</v>
      </c>
      <c r="H18" s="20">
        <v>74725</v>
      </c>
      <c r="I18" s="15">
        <v>126.509</v>
      </c>
      <c r="J18" s="15">
        <v>944.98900000000003</v>
      </c>
      <c r="K18" s="20">
        <v>80513</v>
      </c>
      <c r="L18" s="20">
        <v>77342</v>
      </c>
      <c r="M18" s="15">
        <v>67.709999999999994</v>
      </c>
      <c r="N18" s="15">
        <v>1156.5840000000001</v>
      </c>
    </row>
    <row r="19" spans="1:17" ht="16.5" customHeight="1" x14ac:dyDescent="0.25">
      <c r="A19" s="10">
        <v>5</v>
      </c>
      <c r="B19" s="9" t="s">
        <v>58</v>
      </c>
      <c r="C19" s="20">
        <v>35455</v>
      </c>
      <c r="D19" s="20">
        <v>35267</v>
      </c>
      <c r="E19" s="15">
        <v>97.718000000000004</v>
      </c>
      <c r="F19" s="15">
        <v>602.77499999999998</v>
      </c>
      <c r="G19" s="20">
        <v>39425</v>
      </c>
      <c r="H19" s="20">
        <v>42041</v>
      </c>
      <c r="I19" s="15">
        <v>55.753</v>
      </c>
      <c r="J19" s="15">
        <v>648.79600000000005</v>
      </c>
      <c r="K19" s="20">
        <v>50575</v>
      </c>
      <c r="L19" s="20">
        <v>41913</v>
      </c>
      <c r="M19" s="15">
        <v>59.56</v>
      </c>
      <c r="N19" s="15">
        <v>620.99900000000002</v>
      </c>
    </row>
    <row r="20" spans="1:17" ht="16.5" customHeight="1" x14ac:dyDescent="0.25">
      <c r="A20" s="10">
        <v>6</v>
      </c>
      <c r="B20" s="9" t="s">
        <v>52</v>
      </c>
      <c r="C20" s="21">
        <v>55341</v>
      </c>
      <c r="D20" s="21">
        <v>47021</v>
      </c>
      <c r="E20" s="15">
        <v>91.77</v>
      </c>
      <c r="F20" s="15">
        <v>423.66579999999999</v>
      </c>
      <c r="G20" s="20">
        <v>54252</v>
      </c>
      <c r="H20" s="20">
        <v>48509</v>
      </c>
      <c r="I20" s="15">
        <v>65.938000000000002</v>
      </c>
      <c r="J20" s="15">
        <v>335.13799999999998</v>
      </c>
      <c r="K20" s="20">
        <v>66071</v>
      </c>
      <c r="L20" s="20">
        <v>52366</v>
      </c>
      <c r="M20" s="15">
        <v>87.644000000000005</v>
      </c>
      <c r="N20" s="15">
        <v>357.62594000000001</v>
      </c>
    </row>
    <row r="21" spans="1:17" s="5" customFormat="1" ht="16.5" customHeight="1" x14ac:dyDescent="0.25">
      <c r="A21" s="10">
        <v>7</v>
      </c>
      <c r="B21" s="11" t="s">
        <v>40</v>
      </c>
      <c r="C21" s="21">
        <v>5545</v>
      </c>
      <c r="D21" s="21">
        <v>4198</v>
      </c>
      <c r="E21" s="15">
        <v>173.87299999999999</v>
      </c>
      <c r="F21" s="15">
        <v>156.048</v>
      </c>
      <c r="G21" s="20">
        <v>5435</v>
      </c>
      <c r="H21" s="20">
        <v>5555</v>
      </c>
      <c r="I21" s="15">
        <v>157.03899999999999</v>
      </c>
      <c r="J21" s="15">
        <v>144.56399999999999</v>
      </c>
      <c r="K21" s="20">
        <v>5892</v>
      </c>
      <c r="L21" s="20">
        <v>6038</v>
      </c>
      <c r="M21" s="15">
        <v>183.32499999999999</v>
      </c>
      <c r="N21" s="15">
        <v>115.806</v>
      </c>
      <c r="O21" s="1"/>
      <c r="P21" s="1"/>
      <c r="Q21" s="1"/>
    </row>
    <row r="22" spans="1:17" s="5" customFormat="1" ht="16.5" customHeight="1" x14ac:dyDescent="0.25">
      <c r="A22" s="10">
        <v>8</v>
      </c>
      <c r="B22" s="9" t="s">
        <v>77</v>
      </c>
      <c r="C22" s="20">
        <v>5865</v>
      </c>
      <c r="D22" s="20">
        <v>6407</v>
      </c>
      <c r="E22" s="15">
        <v>1.4470000000000001</v>
      </c>
      <c r="F22" s="15">
        <v>76.207999999999998</v>
      </c>
      <c r="G22" s="21">
        <v>4251</v>
      </c>
      <c r="H22" s="21">
        <v>4722</v>
      </c>
      <c r="I22" s="16">
        <v>1.837</v>
      </c>
      <c r="J22" s="16">
        <v>60.640999999999998</v>
      </c>
      <c r="K22" s="21">
        <v>4557</v>
      </c>
      <c r="L22" s="21">
        <v>4603</v>
      </c>
      <c r="M22" s="16">
        <v>1.262</v>
      </c>
      <c r="N22" s="16">
        <v>55.652999999999999</v>
      </c>
      <c r="O22" s="1"/>
      <c r="P22" s="1"/>
      <c r="Q22" s="1"/>
    </row>
    <row r="23" spans="1:17" s="5" customFormat="1" ht="16.5" customHeight="1" x14ac:dyDescent="0.25">
      <c r="A23" s="10">
        <v>9</v>
      </c>
      <c r="B23" s="9" t="s">
        <v>35</v>
      </c>
      <c r="C23" s="20">
        <v>13978</v>
      </c>
      <c r="D23" s="20">
        <v>9219</v>
      </c>
      <c r="E23" s="15">
        <v>198.36099999999999</v>
      </c>
      <c r="F23" s="15">
        <v>487.57799999999997</v>
      </c>
      <c r="G23" s="20">
        <v>23177</v>
      </c>
      <c r="H23" s="20">
        <v>19031</v>
      </c>
      <c r="I23" s="15">
        <v>159.77199999999999</v>
      </c>
      <c r="J23" s="15">
        <v>381.12099999999998</v>
      </c>
      <c r="K23" s="20">
        <v>23240</v>
      </c>
      <c r="L23" s="20">
        <v>19267</v>
      </c>
      <c r="M23" s="15">
        <v>137.61699999999999</v>
      </c>
      <c r="N23" s="15">
        <v>269.46199999999999</v>
      </c>
      <c r="O23" s="1"/>
      <c r="P23" s="1"/>
      <c r="Q23" s="1"/>
    </row>
    <row r="24" spans="1:17" s="5" customFormat="1" ht="16.5" customHeight="1" x14ac:dyDescent="0.25">
      <c r="A24" s="10">
        <v>10</v>
      </c>
      <c r="B24" s="9" t="s">
        <v>36</v>
      </c>
      <c r="C24" s="20">
        <v>27665</v>
      </c>
      <c r="D24" s="20">
        <v>21618</v>
      </c>
      <c r="E24" s="15">
        <v>795.34500000000003</v>
      </c>
      <c r="F24" s="15">
        <v>1321.347</v>
      </c>
      <c r="G24" s="20">
        <v>32005</v>
      </c>
      <c r="H24" s="20">
        <v>30061</v>
      </c>
      <c r="I24" s="15">
        <v>801.49400000000003</v>
      </c>
      <c r="J24" s="15">
        <v>1283.7449999999999</v>
      </c>
      <c r="K24" s="20">
        <v>35277</v>
      </c>
      <c r="L24" s="20">
        <v>32385</v>
      </c>
      <c r="M24" s="15">
        <v>863.09699999999998</v>
      </c>
      <c r="N24" s="15">
        <v>1363.66</v>
      </c>
      <c r="O24" s="1"/>
      <c r="P24" s="1"/>
      <c r="Q24" s="1"/>
    </row>
    <row r="25" spans="1:17" s="5" customFormat="1" ht="16.5" customHeight="1" x14ac:dyDescent="0.25">
      <c r="A25" s="10">
        <v>11</v>
      </c>
      <c r="B25" s="9" t="s">
        <v>41</v>
      </c>
      <c r="C25" s="20">
        <v>5781</v>
      </c>
      <c r="D25" s="20">
        <v>5658</v>
      </c>
      <c r="E25" s="15">
        <v>4.3120000000000003</v>
      </c>
      <c r="F25" s="15">
        <v>229.91300000000001</v>
      </c>
      <c r="G25" s="20">
        <v>6683</v>
      </c>
      <c r="H25" s="20">
        <v>5481</v>
      </c>
      <c r="I25" s="15">
        <v>6.8609999999999998</v>
      </c>
      <c r="J25" s="15">
        <v>341.24900000000002</v>
      </c>
      <c r="K25" s="20">
        <v>8208</v>
      </c>
      <c r="L25" s="20">
        <v>7705</v>
      </c>
      <c r="M25" s="15">
        <v>15.669</v>
      </c>
      <c r="N25" s="15">
        <v>263.53699999999998</v>
      </c>
      <c r="O25" s="1"/>
      <c r="P25" s="1"/>
      <c r="Q25" s="1"/>
    </row>
    <row r="26" spans="1:17" s="5" customFormat="1" ht="16.5" customHeight="1" x14ac:dyDescent="0.25">
      <c r="A26" s="10">
        <v>12</v>
      </c>
      <c r="B26" s="11" t="s">
        <v>47</v>
      </c>
      <c r="C26" s="21">
        <v>246</v>
      </c>
      <c r="D26" s="21">
        <v>359</v>
      </c>
      <c r="E26" s="15">
        <v>0</v>
      </c>
      <c r="F26" s="15">
        <v>2.4670000000000001</v>
      </c>
      <c r="G26" s="20">
        <v>562</v>
      </c>
      <c r="H26" s="20">
        <v>685</v>
      </c>
      <c r="I26" s="15">
        <v>0</v>
      </c>
      <c r="J26" s="15">
        <v>2.9550000000000001</v>
      </c>
      <c r="K26" s="20">
        <v>790</v>
      </c>
      <c r="L26" s="20">
        <v>870</v>
      </c>
      <c r="M26" s="15">
        <v>0</v>
      </c>
      <c r="N26" s="15">
        <v>5.5449999999999999</v>
      </c>
      <c r="O26" s="1"/>
      <c r="P26" s="1"/>
      <c r="Q26" s="1"/>
    </row>
    <row r="27" spans="1:17" s="5" customFormat="1" ht="16.5" customHeight="1" x14ac:dyDescent="0.25">
      <c r="A27" s="10">
        <v>13</v>
      </c>
      <c r="B27" s="9" t="s">
        <v>59</v>
      </c>
      <c r="C27" s="20">
        <v>3476</v>
      </c>
      <c r="D27" s="20">
        <v>2803</v>
      </c>
      <c r="E27" s="15">
        <v>5.0970000000000004</v>
      </c>
      <c r="F27" s="15">
        <v>65.243099999999998</v>
      </c>
      <c r="G27" s="20">
        <v>3283</v>
      </c>
      <c r="H27" s="20">
        <v>2621</v>
      </c>
      <c r="I27" s="15">
        <v>0</v>
      </c>
      <c r="J27" s="15">
        <v>92.764539999999997</v>
      </c>
      <c r="K27" s="20">
        <v>4742</v>
      </c>
      <c r="L27" s="20">
        <v>3430</v>
      </c>
      <c r="M27" s="15">
        <v>5.11E-2</v>
      </c>
      <c r="N27" s="15">
        <v>68.568100000000001</v>
      </c>
      <c r="O27" s="1"/>
      <c r="P27" s="1"/>
      <c r="Q27" s="1"/>
    </row>
    <row r="28" spans="1:17" s="5" customFormat="1" ht="16.5" customHeight="1" x14ac:dyDescent="0.25">
      <c r="A28" s="10">
        <v>14</v>
      </c>
      <c r="B28" s="9" t="s">
        <v>39</v>
      </c>
      <c r="C28" s="20">
        <v>5643</v>
      </c>
      <c r="D28" s="20">
        <v>5934</v>
      </c>
      <c r="E28" s="15">
        <v>427.67599999999999</v>
      </c>
      <c r="F28" s="15">
        <v>406.55200000000002</v>
      </c>
      <c r="G28" s="20">
        <v>5688</v>
      </c>
      <c r="H28" s="20">
        <v>5891</v>
      </c>
      <c r="I28" s="15">
        <v>328.71499999999997</v>
      </c>
      <c r="J28" s="15">
        <v>249.274</v>
      </c>
      <c r="K28" s="20">
        <v>6219</v>
      </c>
      <c r="L28" s="20">
        <v>6594</v>
      </c>
      <c r="M28" s="15">
        <v>290.88799999999998</v>
      </c>
      <c r="N28" s="15">
        <v>292.166</v>
      </c>
      <c r="O28" s="1"/>
      <c r="P28" s="1"/>
      <c r="Q28" s="1"/>
    </row>
    <row r="29" spans="1:17" s="5" customFormat="1" ht="16.5" customHeight="1" x14ac:dyDescent="0.25">
      <c r="A29" s="10">
        <v>15</v>
      </c>
      <c r="B29" s="9" t="s">
        <v>60</v>
      </c>
      <c r="C29" s="20">
        <v>8836</v>
      </c>
      <c r="D29" s="20">
        <v>5731</v>
      </c>
      <c r="E29" s="15">
        <v>56.642099999999999</v>
      </c>
      <c r="F29" s="15">
        <v>158.36099999999999</v>
      </c>
      <c r="G29" s="20">
        <v>8198</v>
      </c>
      <c r="H29" s="20">
        <v>5525</v>
      </c>
      <c r="I29" s="15">
        <v>52.7804</v>
      </c>
      <c r="J29" s="15">
        <v>130.4872</v>
      </c>
      <c r="K29" s="20">
        <v>8238</v>
      </c>
      <c r="L29" s="20">
        <v>6311</v>
      </c>
      <c r="M29" s="15">
        <v>52.895900000000005</v>
      </c>
      <c r="N29" s="15">
        <v>94.855000000000004</v>
      </c>
      <c r="O29" s="1"/>
      <c r="P29" s="1"/>
      <c r="Q29" s="1"/>
    </row>
    <row r="30" spans="1:17" s="5" customFormat="1" ht="16.5" customHeight="1" x14ac:dyDescent="0.25">
      <c r="A30" s="10">
        <v>16</v>
      </c>
      <c r="B30" s="9" t="s">
        <v>61</v>
      </c>
      <c r="C30" s="20">
        <v>62</v>
      </c>
      <c r="D30" s="20">
        <v>69</v>
      </c>
      <c r="E30" s="15">
        <v>19.327999999999999</v>
      </c>
      <c r="F30" s="15">
        <v>39.676000000000002</v>
      </c>
      <c r="G30" s="20">
        <v>62</v>
      </c>
      <c r="H30" s="20">
        <v>89</v>
      </c>
      <c r="I30" s="15">
        <v>38.002000000000002</v>
      </c>
      <c r="J30" s="15">
        <v>41.640999999999998</v>
      </c>
      <c r="K30" s="20">
        <v>64</v>
      </c>
      <c r="L30" s="20">
        <v>103</v>
      </c>
      <c r="M30" s="15">
        <v>36.500999999999998</v>
      </c>
      <c r="N30" s="15">
        <v>30.018000000000001</v>
      </c>
      <c r="O30" s="1"/>
      <c r="P30" s="1"/>
      <c r="Q30" s="1"/>
    </row>
    <row r="31" spans="1:17" s="5" customFormat="1" ht="16.5" customHeight="1" x14ac:dyDescent="0.25">
      <c r="A31" s="10">
        <v>17</v>
      </c>
      <c r="B31" s="9" t="s">
        <v>68</v>
      </c>
      <c r="C31" s="20">
        <v>2257</v>
      </c>
      <c r="D31" s="20">
        <v>2009</v>
      </c>
      <c r="E31" s="15">
        <v>0</v>
      </c>
      <c r="F31" s="15">
        <v>22.818999999999999</v>
      </c>
      <c r="G31" s="20">
        <v>1228</v>
      </c>
      <c r="H31" s="20">
        <v>1489</v>
      </c>
      <c r="I31" s="15">
        <v>2.4E-2</v>
      </c>
      <c r="J31" s="15">
        <v>22.096</v>
      </c>
      <c r="K31" s="20">
        <v>2409</v>
      </c>
      <c r="L31" s="20">
        <v>2459</v>
      </c>
      <c r="M31" s="15">
        <v>0</v>
      </c>
      <c r="N31" s="15">
        <v>13.47</v>
      </c>
      <c r="O31" s="1"/>
      <c r="P31" s="1"/>
      <c r="Q31" s="1"/>
    </row>
    <row r="32" spans="1:17" s="5" customFormat="1" ht="16.5" customHeight="1" x14ac:dyDescent="0.25">
      <c r="A32" s="10">
        <v>18</v>
      </c>
      <c r="B32" s="9" t="s">
        <v>71</v>
      </c>
      <c r="C32" s="20">
        <v>3053</v>
      </c>
      <c r="D32" s="20">
        <v>2991</v>
      </c>
      <c r="E32" s="15">
        <v>0</v>
      </c>
      <c r="F32" s="15">
        <v>0</v>
      </c>
      <c r="G32" s="20">
        <v>2171</v>
      </c>
      <c r="H32" s="20">
        <v>1816</v>
      </c>
      <c r="I32" s="15">
        <v>0</v>
      </c>
      <c r="J32" s="15">
        <v>0</v>
      </c>
      <c r="K32" s="20">
        <v>2255</v>
      </c>
      <c r="L32" s="20">
        <v>2169</v>
      </c>
      <c r="M32" s="16">
        <v>0</v>
      </c>
      <c r="N32" s="16">
        <v>0</v>
      </c>
      <c r="O32" s="1"/>
      <c r="P32" s="1"/>
      <c r="Q32" s="1"/>
    </row>
    <row r="33" spans="1:17" s="5" customFormat="1" ht="16.5" customHeight="1" x14ac:dyDescent="0.25">
      <c r="A33" s="10">
        <v>19</v>
      </c>
      <c r="B33" s="9" t="s">
        <v>5</v>
      </c>
      <c r="C33" s="20">
        <v>4255</v>
      </c>
      <c r="D33" s="20">
        <v>4432</v>
      </c>
      <c r="E33" s="15">
        <v>42.896000000000001</v>
      </c>
      <c r="F33" s="15">
        <v>89.344999999999999</v>
      </c>
      <c r="G33" s="20">
        <v>3500</v>
      </c>
      <c r="H33" s="20">
        <v>3598</v>
      </c>
      <c r="I33" s="15">
        <v>1.484</v>
      </c>
      <c r="J33" s="15">
        <v>52.131</v>
      </c>
      <c r="K33" s="20">
        <v>3018</v>
      </c>
      <c r="L33" s="20">
        <v>3155</v>
      </c>
      <c r="M33" s="15">
        <v>3.9089999999999998</v>
      </c>
      <c r="N33" s="15">
        <v>53.822000000000003</v>
      </c>
      <c r="O33" s="1"/>
      <c r="P33" s="1"/>
      <c r="Q33" s="1"/>
    </row>
    <row r="34" spans="1:17" s="5" customFormat="1" ht="16.5" customHeight="1" x14ac:dyDescent="0.25">
      <c r="A34" s="10">
        <v>20</v>
      </c>
      <c r="B34" s="9" t="s">
        <v>64</v>
      </c>
      <c r="C34" s="20">
        <v>54119</v>
      </c>
      <c r="D34" s="20">
        <v>43878</v>
      </c>
      <c r="E34" s="15">
        <v>1452.14</v>
      </c>
      <c r="F34" s="15">
        <v>3627.79</v>
      </c>
      <c r="G34" s="21">
        <v>54048</v>
      </c>
      <c r="H34" s="21">
        <v>52195</v>
      </c>
      <c r="I34" s="15">
        <v>1266.02</v>
      </c>
      <c r="J34" s="15">
        <v>3103.74</v>
      </c>
      <c r="K34" s="20">
        <v>57001</v>
      </c>
      <c r="L34" s="20">
        <v>52763</v>
      </c>
      <c r="M34" s="15">
        <v>1479.9</v>
      </c>
      <c r="N34" s="15">
        <v>3265.81</v>
      </c>
      <c r="O34" s="1"/>
      <c r="P34" s="1"/>
      <c r="Q34" s="1"/>
    </row>
    <row r="35" spans="1:17" s="5" customFormat="1" ht="16.5" customHeight="1" x14ac:dyDescent="0.25">
      <c r="A35" s="10">
        <v>21</v>
      </c>
      <c r="B35" s="9" t="s">
        <v>74</v>
      </c>
      <c r="C35" s="20">
        <v>762</v>
      </c>
      <c r="D35" s="20">
        <v>713</v>
      </c>
      <c r="E35" s="15">
        <v>0</v>
      </c>
      <c r="F35" s="15">
        <v>0</v>
      </c>
      <c r="G35" s="21">
        <v>855</v>
      </c>
      <c r="H35" s="21">
        <v>693</v>
      </c>
      <c r="I35" s="15">
        <v>0</v>
      </c>
      <c r="J35" s="15">
        <v>0</v>
      </c>
      <c r="K35" s="20">
        <v>810</v>
      </c>
      <c r="L35" s="20">
        <v>672</v>
      </c>
      <c r="M35" s="15">
        <v>0</v>
      </c>
      <c r="N35" s="15">
        <v>0</v>
      </c>
      <c r="O35" s="1"/>
      <c r="P35" s="1"/>
      <c r="Q35" s="1"/>
    </row>
    <row r="36" spans="1:17" s="5" customFormat="1" ht="16.5" customHeight="1" x14ac:dyDescent="0.25">
      <c r="A36" s="10">
        <v>22</v>
      </c>
      <c r="B36" s="9" t="s">
        <v>6</v>
      </c>
      <c r="C36" s="20">
        <v>35027</v>
      </c>
      <c r="D36" s="20">
        <v>36728</v>
      </c>
      <c r="E36" s="15">
        <v>7290.4845999999989</v>
      </c>
      <c r="F36" s="15">
        <v>3417.4650699999997</v>
      </c>
      <c r="G36" s="20">
        <v>43367</v>
      </c>
      <c r="H36" s="20">
        <v>41000</v>
      </c>
      <c r="I36" s="15">
        <v>7266.8782000000001</v>
      </c>
      <c r="J36" s="15">
        <v>2930.8851199999999</v>
      </c>
      <c r="K36" s="20">
        <v>44022</v>
      </c>
      <c r="L36" s="20">
        <v>44234</v>
      </c>
      <c r="M36" s="15">
        <v>6812.7851999999993</v>
      </c>
      <c r="N36" s="15">
        <v>3940.7682599999998</v>
      </c>
      <c r="O36" s="1"/>
      <c r="P36" s="1"/>
      <c r="Q36" s="1"/>
    </row>
    <row r="37" spans="1:17" s="5" customFormat="1" ht="16.5" customHeight="1" x14ac:dyDescent="0.25">
      <c r="A37" s="10">
        <v>23</v>
      </c>
      <c r="B37" s="9" t="s">
        <v>53</v>
      </c>
      <c r="C37" s="20">
        <v>0</v>
      </c>
      <c r="D37" s="20">
        <v>0</v>
      </c>
      <c r="E37" s="15">
        <v>188.03899999999999</v>
      </c>
      <c r="F37" s="15">
        <v>207.43299999999999</v>
      </c>
      <c r="G37" s="20">
        <v>0</v>
      </c>
      <c r="H37" s="20">
        <v>0</v>
      </c>
      <c r="I37" s="15">
        <v>192.297</v>
      </c>
      <c r="J37" s="15">
        <v>198.94200000000001</v>
      </c>
      <c r="K37" s="20">
        <v>0</v>
      </c>
      <c r="L37" s="20">
        <v>0</v>
      </c>
      <c r="M37" s="15">
        <v>206.19499999999999</v>
      </c>
      <c r="N37" s="15">
        <v>221.44399999999999</v>
      </c>
      <c r="O37" s="1"/>
      <c r="P37" s="1"/>
      <c r="Q37" s="1"/>
    </row>
    <row r="38" spans="1:17" s="5" customFormat="1" ht="16.5" customHeight="1" x14ac:dyDescent="0.25">
      <c r="A38" s="10">
        <v>24</v>
      </c>
      <c r="B38" s="9" t="s">
        <v>7</v>
      </c>
      <c r="C38" s="20">
        <v>4597</v>
      </c>
      <c r="D38" s="20">
        <v>4583</v>
      </c>
      <c r="E38" s="15">
        <v>0.72350000000000003</v>
      </c>
      <c r="F38" s="15">
        <v>1.0029999999999999</v>
      </c>
      <c r="G38" s="20">
        <v>4507</v>
      </c>
      <c r="H38" s="20">
        <v>3780</v>
      </c>
      <c r="I38" s="15">
        <v>0.36049999999999999</v>
      </c>
      <c r="J38" s="15">
        <v>2.1048</v>
      </c>
      <c r="K38" s="20">
        <v>3375</v>
      </c>
      <c r="L38" s="20">
        <v>3508</v>
      </c>
      <c r="M38" s="15">
        <v>0.4385</v>
      </c>
      <c r="N38" s="15">
        <v>1.8472</v>
      </c>
      <c r="O38" s="1"/>
      <c r="P38" s="1"/>
      <c r="Q38" s="1"/>
    </row>
    <row r="39" spans="1:17" s="5" customFormat="1" ht="16.5" customHeight="1" x14ac:dyDescent="0.25">
      <c r="A39" s="10">
        <v>25</v>
      </c>
      <c r="B39" s="11" t="s">
        <v>78</v>
      </c>
      <c r="C39" s="20">
        <v>2670</v>
      </c>
      <c r="D39" s="20">
        <v>3120</v>
      </c>
      <c r="E39" s="15">
        <v>13.585000000000001</v>
      </c>
      <c r="F39" s="15">
        <v>287.01799999999997</v>
      </c>
      <c r="G39" s="21">
        <v>4805</v>
      </c>
      <c r="H39" s="21">
        <v>4772</v>
      </c>
      <c r="I39" s="15">
        <v>52.820999999999998</v>
      </c>
      <c r="J39" s="15">
        <v>270.36500000000001</v>
      </c>
      <c r="K39" s="20">
        <v>4596</v>
      </c>
      <c r="L39" s="20">
        <v>3610</v>
      </c>
      <c r="M39" s="15">
        <v>60.335000000000001</v>
      </c>
      <c r="N39" s="15">
        <v>289.12200000000001</v>
      </c>
      <c r="O39" s="1"/>
      <c r="P39" s="1"/>
      <c r="Q39" s="1"/>
    </row>
    <row r="40" spans="1:17" s="5" customFormat="1" ht="16.5" customHeight="1" x14ac:dyDescent="0.25">
      <c r="A40" s="10">
        <v>26</v>
      </c>
      <c r="B40" s="9" t="s">
        <v>31</v>
      </c>
      <c r="C40" s="20">
        <v>238753</v>
      </c>
      <c r="D40" s="20">
        <v>205696</v>
      </c>
      <c r="E40" s="15">
        <v>4614.7837879999997</v>
      </c>
      <c r="F40" s="15">
        <v>12002.077719000003</v>
      </c>
      <c r="G40" s="20">
        <v>250236</v>
      </c>
      <c r="H40" s="20">
        <v>231568</v>
      </c>
      <c r="I40" s="15">
        <v>4246.7079940000003</v>
      </c>
      <c r="J40" s="15">
        <v>10622.039649</v>
      </c>
      <c r="K40" s="20">
        <v>257023</v>
      </c>
      <c r="L40" s="20">
        <v>240841</v>
      </c>
      <c r="M40" s="15">
        <v>5583.5667970000004</v>
      </c>
      <c r="N40" s="15">
        <v>9998.1809480000011</v>
      </c>
      <c r="O40" s="1"/>
      <c r="P40" s="1"/>
      <c r="Q40" s="1"/>
    </row>
    <row r="41" spans="1:17" s="5" customFormat="1" ht="16.5" customHeight="1" x14ac:dyDescent="0.25">
      <c r="A41" s="10">
        <v>27</v>
      </c>
      <c r="B41" s="9" t="s">
        <v>32</v>
      </c>
      <c r="C41" s="20">
        <v>28224</v>
      </c>
      <c r="D41" s="20">
        <v>22736</v>
      </c>
      <c r="E41" s="15">
        <v>443.05200000000002</v>
      </c>
      <c r="F41" s="15">
        <v>1166.4970000000001</v>
      </c>
      <c r="G41" s="20">
        <v>29950</v>
      </c>
      <c r="H41" s="20">
        <v>26038</v>
      </c>
      <c r="I41" s="15">
        <v>466.084</v>
      </c>
      <c r="J41" s="15">
        <v>908.25400000000002</v>
      </c>
      <c r="K41" s="20">
        <v>31231</v>
      </c>
      <c r="L41" s="20">
        <v>26712</v>
      </c>
      <c r="M41" s="15">
        <v>395.90800000000002</v>
      </c>
      <c r="N41" s="15">
        <v>1334.1</v>
      </c>
      <c r="O41" s="1"/>
      <c r="P41" s="1"/>
      <c r="Q41" s="1"/>
    </row>
    <row r="42" spans="1:17" s="5" customFormat="1" ht="16.5" customHeight="1" x14ac:dyDescent="0.25">
      <c r="A42" s="10">
        <v>28</v>
      </c>
      <c r="B42" s="9" t="s">
        <v>79</v>
      </c>
      <c r="C42" s="20">
        <v>122853</v>
      </c>
      <c r="D42" s="20">
        <v>122478</v>
      </c>
      <c r="E42" s="15">
        <v>1677.8524</v>
      </c>
      <c r="F42" s="15">
        <v>2759.53</v>
      </c>
      <c r="G42" s="20">
        <v>131503</v>
      </c>
      <c r="H42" s="20">
        <v>126021</v>
      </c>
      <c r="I42" s="15">
        <v>1366.6140399999999</v>
      </c>
      <c r="J42" s="15">
        <v>2430.1558600000003</v>
      </c>
      <c r="K42" s="20">
        <v>132459</v>
      </c>
      <c r="L42" s="20">
        <v>128818</v>
      </c>
      <c r="M42" s="15">
        <v>1342.2880299999999</v>
      </c>
      <c r="N42" s="15">
        <v>2223.9012200000002</v>
      </c>
      <c r="O42" s="1"/>
      <c r="P42" s="1"/>
      <c r="Q42" s="1"/>
    </row>
    <row r="43" spans="1:17" s="5" customFormat="1" ht="16.5" customHeight="1" x14ac:dyDescent="0.25">
      <c r="A43" s="10">
        <v>29</v>
      </c>
      <c r="B43" s="9" t="s">
        <v>8</v>
      </c>
      <c r="C43" s="20">
        <v>0</v>
      </c>
      <c r="D43" s="20">
        <v>0</v>
      </c>
      <c r="E43" s="15">
        <v>1218.0319999999999</v>
      </c>
      <c r="F43" s="15">
        <v>2472.5369999999998</v>
      </c>
      <c r="G43" s="20">
        <v>0</v>
      </c>
      <c r="H43" s="20">
        <v>0</v>
      </c>
      <c r="I43" s="15">
        <v>1315.2909999999999</v>
      </c>
      <c r="J43" s="15">
        <v>2213.451</v>
      </c>
      <c r="K43" s="20">
        <v>0</v>
      </c>
      <c r="L43" s="20">
        <v>0</v>
      </c>
      <c r="M43" s="16">
        <v>1339.6320000000001</v>
      </c>
      <c r="N43" s="16">
        <v>2695.8719999999998</v>
      </c>
      <c r="O43" s="1"/>
      <c r="P43" s="1"/>
      <c r="Q43" s="1"/>
    </row>
    <row r="44" spans="1:17" s="5" customFormat="1" ht="16.5" customHeight="1" x14ac:dyDescent="0.25">
      <c r="A44" s="10">
        <v>30</v>
      </c>
      <c r="B44" s="9" t="s">
        <v>80</v>
      </c>
      <c r="C44" s="20">
        <v>7584</v>
      </c>
      <c r="D44" s="20">
        <v>4269</v>
      </c>
      <c r="E44" s="15">
        <v>164.649</v>
      </c>
      <c r="F44" s="15">
        <v>424.20100000000002</v>
      </c>
      <c r="G44" s="20">
        <v>7472</v>
      </c>
      <c r="H44" s="20">
        <v>6910</v>
      </c>
      <c r="I44" s="15">
        <v>144.10900000000001</v>
      </c>
      <c r="J44" s="15">
        <v>355.202</v>
      </c>
      <c r="K44" s="20">
        <v>7226</v>
      </c>
      <c r="L44" s="20">
        <v>4865</v>
      </c>
      <c r="M44" s="16">
        <v>168.25299999999999</v>
      </c>
      <c r="N44" s="16">
        <v>260.61399999999998</v>
      </c>
      <c r="O44" s="1"/>
      <c r="P44" s="1"/>
      <c r="Q44" s="1"/>
    </row>
    <row r="45" spans="1:17" s="5" customFormat="1" ht="16.5" customHeight="1" x14ac:dyDescent="0.25">
      <c r="A45" s="10">
        <v>31</v>
      </c>
      <c r="B45" s="9" t="s">
        <v>92</v>
      </c>
      <c r="C45" s="20">
        <v>1153</v>
      </c>
      <c r="D45" s="20">
        <v>1157</v>
      </c>
      <c r="E45" s="15">
        <v>6.6470000000000002</v>
      </c>
      <c r="F45" s="15">
        <v>15.962999999999999</v>
      </c>
      <c r="G45" s="20">
        <v>1626</v>
      </c>
      <c r="H45" s="20">
        <v>1480</v>
      </c>
      <c r="I45" s="15">
        <v>5.8979999999999997</v>
      </c>
      <c r="J45" s="15">
        <v>14.923</v>
      </c>
      <c r="K45" s="20">
        <v>2194</v>
      </c>
      <c r="L45" s="20">
        <v>2793</v>
      </c>
      <c r="M45" s="16">
        <v>3.7000000000000002E-3</v>
      </c>
      <c r="N45" s="16">
        <v>2.75E-2</v>
      </c>
      <c r="O45" s="1"/>
      <c r="P45" s="1"/>
      <c r="Q45" s="1"/>
    </row>
    <row r="46" spans="1:17" s="5" customFormat="1" ht="16.5" customHeight="1" x14ac:dyDescent="0.25">
      <c r="A46" s="10">
        <v>32</v>
      </c>
      <c r="B46" s="9" t="s">
        <v>44</v>
      </c>
      <c r="C46" s="20">
        <v>21462</v>
      </c>
      <c r="D46" s="20">
        <v>20231</v>
      </c>
      <c r="E46" s="15">
        <v>9.48</v>
      </c>
      <c r="F46" s="15">
        <v>193.09299999999999</v>
      </c>
      <c r="G46" s="20">
        <v>21279</v>
      </c>
      <c r="H46" s="20">
        <v>20679</v>
      </c>
      <c r="I46" s="15">
        <v>7.0640000000000001</v>
      </c>
      <c r="J46" s="15">
        <v>171.74299999999999</v>
      </c>
      <c r="K46" s="20">
        <v>21432</v>
      </c>
      <c r="L46" s="20">
        <v>20555</v>
      </c>
      <c r="M46" s="16">
        <v>21.806000000000001</v>
      </c>
      <c r="N46" s="16">
        <v>183.52622999999997</v>
      </c>
      <c r="O46" s="1"/>
      <c r="P46" s="1"/>
      <c r="Q46" s="1"/>
    </row>
    <row r="47" spans="1:17" s="5" customFormat="1" ht="16.5" customHeight="1" x14ac:dyDescent="0.25">
      <c r="A47" s="10">
        <v>33</v>
      </c>
      <c r="B47" s="9" t="s">
        <v>54</v>
      </c>
      <c r="C47" s="20">
        <v>22901</v>
      </c>
      <c r="D47" s="20">
        <v>24222</v>
      </c>
      <c r="E47" s="15">
        <v>12.587</v>
      </c>
      <c r="F47" s="15">
        <v>235.22800000000001</v>
      </c>
      <c r="G47" s="20">
        <v>22960</v>
      </c>
      <c r="H47" s="20">
        <v>22643</v>
      </c>
      <c r="I47" s="15">
        <v>20.28</v>
      </c>
      <c r="J47" s="15">
        <v>195.22499999999999</v>
      </c>
      <c r="K47" s="20">
        <v>25180</v>
      </c>
      <c r="L47" s="20">
        <v>24543</v>
      </c>
      <c r="M47" s="16">
        <v>13.88</v>
      </c>
      <c r="N47" s="16">
        <v>244.60400000000001</v>
      </c>
      <c r="O47" s="1"/>
      <c r="P47" s="1"/>
      <c r="Q47" s="1"/>
    </row>
    <row r="48" spans="1:17" s="5" customFormat="1" ht="16.5" customHeight="1" x14ac:dyDescent="0.25">
      <c r="A48" s="10">
        <v>34</v>
      </c>
      <c r="B48" s="9" t="s">
        <v>33</v>
      </c>
      <c r="C48" s="20">
        <v>44610</v>
      </c>
      <c r="D48" s="20">
        <v>37174</v>
      </c>
      <c r="E48" s="15">
        <v>6.375</v>
      </c>
      <c r="F48" s="15">
        <v>653.54999999999995</v>
      </c>
      <c r="G48" s="20">
        <v>43333</v>
      </c>
      <c r="H48" s="20">
        <v>35995</v>
      </c>
      <c r="I48" s="15">
        <v>7.3929999999999998</v>
      </c>
      <c r="J48" s="15">
        <v>472.89100000000002</v>
      </c>
      <c r="K48" s="20">
        <v>45066</v>
      </c>
      <c r="L48" s="20">
        <v>40762</v>
      </c>
      <c r="M48" s="16">
        <v>7.8849999999999998</v>
      </c>
      <c r="N48" s="16">
        <v>487.80200000000002</v>
      </c>
      <c r="O48" s="1"/>
      <c r="P48" s="1"/>
      <c r="Q48" s="1"/>
    </row>
    <row r="49" spans="1:17" s="5" customFormat="1" ht="16.5" customHeight="1" x14ac:dyDescent="0.25">
      <c r="A49" s="10">
        <v>35</v>
      </c>
      <c r="B49" s="9" t="s">
        <v>81</v>
      </c>
      <c r="C49" s="20">
        <v>93</v>
      </c>
      <c r="D49" s="20">
        <v>99</v>
      </c>
      <c r="E49" s="15">
        <v>0</v>
      </c>
      <c r="F49" s="15">
        <v>0.14799999999999999</v>
      </c>
      <c r="G49" s="20">
        <v>540</v>
      </c>
      <c r="H49" s="20">
        <v>698</v>
      </c>
      <c r="I49" s="15">
        <v>5.28</v>
      </c>
      <c r="J49" s="15">
        <v>21.206</v>
      </c>
      <c r="K49" s="20">
        <v>751</v>
      </c>
      <c r="L49" s="20">
        <v>676</v>
      </c>
      <c r="M49" s="16">
        <v>3.9260000000000002</v>
      </c>
      <c r="N49" s="16">
        <v>28.306000000000001</v>
      </c>
      <c r="O49" s="1"/>
      <c r="P49" s="1"/>
      <c r="Q49" s="1"/>
    </row>
    <row r="50" spans="1:17" s="5" customFormat="1" ht="16.5" customHeight="1" x14ac:dyDescent="0.25">
      <c r="A50" s="10">
        <v>36</v>
      </c>
      <c r="B50" s="9" t="s">
        <v>9</v>
      </c>
      <c r="C50" s="20">
        <v>2595</v>
      </c>
      <c r="D50" s="20">
        <v>2645</v>
      </c>
      <c r="E50" s="15">
        <v>0</v>
      </c>
      <c r="F50" s="15">
        <v>2.2000000000000002</v>
      </c>
      <c r="G50" s="20">
        <v>2578</v>
      </c>
      <c r="H50" s="20">
        <v>2287</v>
      </c>
      <c r="I50" s="15">
        <v>0.12</v>
      </c>
      <c r="J50" s="15">
        <v>1</v>
      </c>
      <c r="K50" s="20">
        <v>2916</v>
      </c>
      <c r="L50" s="20">
        <v>2526</v>
      </c>
      <c r="M50" s="16">
        <v>0</v>
      </c>
      <c r="N50" s="16">
        <v>1.8</v>
      </c>
      <c r="O50" s="1"/>
      <c r="P50" s="1"/>
      <c r="Q50" s="1"/>
    </row>
    <row r="51" spans="1:17" s="5" customFormat="1" ht="16.5" customHeight="1" x14ac:dyDescent="0.25">
      <c r="A51" s="10">
        <v>37</v>
      </c>
      <c r="B51" s="9" t="s">
        <v>10</v>
      </c>
      <c r="C51" s="20">
        <v>2799</v>
      </c>
      <c r="D51" s="20">
        <v>2947</v>
      </c>
      <c r="E51" s="15">
        <v>0</v>
      </c>
      <c r="F51" s="15">
        <v>0.54500000000000004</v>
      </c>
      <c r="G51" s="20">
        <v>2183</v>
      </c>
      <c r="H51" s="20">
        <v>2144</v>
      </c>
      <c r="I51" s="15">
        <v>0</v>
      </c>
      <c r="J51" s="15">
        <v>1.41</v>
      </c>
      <c r="K51" s="20">
        <v>3441</v>
      </c>
      <c r="L51" s="20">
        <v>2566</v>
      </c>
      <c r="M51" s="16">
        <v>3.7999999999999999E-2</v>
      </c>
      <c r="N51" s="16">
        <v>3.6680000000000001</v>
      </c>
      <c r="O51" s="1"/>
      <c r="P51" s="1"/>
      <c r="Q51" s="1"/>
    </row>
    <row r="52" spans="1:17" s="5" customFormat="1" ht="16.5" customHeight="1" x14ac:dyDescent="0.25">
      <c r="A52" s="10">
        <v>38</v>
      </c>
      <c r="B52" s="9" t="s">
        <v>11</v>
      </c>
      <c r="C52" s="20">
        <v>5007</v>
      </c>
      <c r="D52" s="20">
        <v>5293</v>
      </c>
      <c r="E52" s="15">
        <v>513.37199999999996</v>
      </c>
      <c r="F52" s="15">
        <v>161.14400000000001</v>
      </c>
      <c r="G52" s="20">
        <v>6433</v>
      </c>
      <c r="H52" s="20">
        <v>6065</v>
      </c>
      <c r="I52" s="15">
        <v>427.71300000000002</v>
      </c>
      <c r="J52" s="15">
        <v>127.276</v>
      </c>
      <c r="K52" s="20">
        <v>6392</v>
      </c>
      <c r="L52" s="20">
        <v>6447</v>
      </c>
      <c r="M52" s="16">
        <v>403.70699999999999</v>
      </c>
      <c r="N52" s="16">
        <v>126.824</v>
      </c>
      <c r="O52" s="1"/>
      <c r="P52" s="1"/>
      <c r="Q52" s="1"/>
    </row>
    <row r="53" spans="1:17" s="5" customFormat="1" ht="16.5" customHeight="1" x14ac:dyDescent="0.25">
      <c r="A53" s="10">
        <v>39</v>
      </c>
      <c r="B53" s="9" t="s">
        <v>48</v>
      </c>
      <c r="C53" s="20">
        <v>11125</v>
      </c>
      <c r="D53" s="20">
        <v>11763</v>
      </c>
      <c r="E53" s="15">
        <v>4.3117000000000001</v>
      </c>
      <c r="F53" s="15">
        <v>145.69900000000001</v>
      </c>
      <c r="G53" s="20">
        <v>14005</v>
      </c>
      <c r="H53" s="20">
        <v>14075</v>
      </c>
      <c r="I53" s="15">
        <v>19.285</v>
      </c>
      <c r="J53" s="15">
        <v>161.142</v>
      </c>
      <c r="K53" s="20">
        <v>13599</v>
      </c>
      <c r="L53" s="20">
        <v>13199</v>
      </c>
      <c r="M53" s="16">
        <v>38.691800000000001</v>
      </c>
      <c r="N53" s="16">
        <v>160.0197</v>
      </c>
      <c r="O53" s="1"/>
      <c r="P53" s="1"/>
      <c r="Q53" s="1"/>
    </row>
    <row r="54" spans="1:17" s="5" customFormat="1" ht="16.5" customHeight="1" x14ac:dyDescent="0.25">
      <c r="A54" s="10">
        <v>40</v>
      </c>
      <c r="B54" s="9" t="s">
        <v>12</v>
      </c>
      <c r="C54" s="20">
        <v>6310</v>
      </c>
      <c r="D54" s="20">
        <v>5059</v>
      </c>
      <c r="E54" s="15">
        <v>1.06</v>
      </c>
      <c r="F54" s="15">
        <v>58.753</v>
      </c>
      <c r="G54" s="20">
        <v>6475</v>
      </c>
      <c r="H54" s="20">
        <v>5022</v>
      </c>
      <c r="I54" s="15">
        <v>0.94099999999999995</v>
      </c>
      <c r="J54" s="15">
        <v>59.195</v>
      </c>
      <c r="K54" s="20">
        <v>7454</v>
      </c>
      <c r="L54" s="20">
        <v>5926</v>
      </c>
      <c r="M54" s="15">
        <v>0.45900000000000002</v>
      </c>
      <c r="N54" s="15">
        <v>53.097000000000001</v>
      </c>
      <c r="O54" s="1"/>
      <c r="P54" s="1"/>
      <c r="Q54" s="1"/>
    </row>
    <row r="55" spans="1:17" s="5" customFormat="1" ht="16.5" customHeight="1" x14ac:dyDescent="0.25">
      <c r="A55" s="10">
        <v>41</v>
      </c>
      <c r="B55" s="9" t="s">
        <v>37</v>
      </c>
      <c r="C55" s="20">
        <v>23920</v>
      </c>
      <c r="D55" s="20">
        <v>21198</v>
      </c>
      <c r="E55" s="15">
        <v>740.41899999999998</v>
      </c>
      <c r="F55" s="15">
        <v>959.84199999999998</v>
      </c>
      <c r="G55" s="20">
        <v>27217</v>
      </c>
      <c r="H55" s="20">
        <v>26212</v>
      </c>
      <c r="I55" s="15">
        <v>1020.174</v>
      </c>
      <c r="J55" s="15">
        <v>1140.6099999999999</v>
      </c>
      <c r="K55" s="20">
        <v>28086</v>
      </c>
      <c r="L55" s="20">
        <v>26031</v>
      </c>
      <c r="M55" s="15">
        <v>1124.7280000000001</v>
      </c>
      <c r="N55" s="15">
        <v>1359.0630000000001</v>
      </c>
      <c r="O55" s="1"/>
      <c r="P55" s="1"/>
      <c r="Q55" s="1"/>
    </row>
    <row r="56" spans="1:17" s="5" customFormat="1" ht="16.5" customHeight="1" x14ac:dyDescent="0.25">
      <c r="A56" s="10">
        <v>42</v>
      </c>
      <c r="B56" s="9" t="s">
        <v>13</v>
      </c>
      <c r="C56" s="20">
        <v>3106</v>
      </c>
      <c r="D56" s="20">
        <v>2997</v>
      </c>
      <c r="E56" s="15">
        <v>308.36509999999998</v>
      </c>
      <c r="F56" s="15">
        <v>504.51220000000001</v>
      </c>
      <c r="G56" s="20">
        <v>3873</v>
      </c>
      <c r="H56" s="20">
        <v>3369</v>
      </c>
      <c r="I56" s="15">
        <v>316.99849999999998</v>
      </c>
      <c r="J56" s="15">
        <v>394.01740000000001</v>
      </c>
      <c r="K56" s="20">
        <v>3733</v>
      </c>
      <c r="L56" s="20">
        <v>3940</v>
      </c>
      <c r="M56" s="15">
        <v>366.66759999999999</v>
      </c>
      <c r="N56" s="15">
        <v>376.88529999999997</v>
      </c>
      <c r="O56" s="1"/>
      <c r="P56" s="1"/>
      <c r="Q56" s="1"/>
    </row>
    <row r="57" spans="1:17" s="5" customFormat="1" ht="16.5" customHeight="1" x14ac:dyDescent="0.25">
      <c r="A57" s="10">
        <v>43</v>
      </c>
      <c r="B57" s="9" t="s">
        <v>42</v>
      </c>
      <c r="C57" s="20">
        <v>22214</v>
      </c>
      <c r="D57" s="20">
        <v>22854</v>
      </c>
      <c r="E57" s="15">
        <v>0</v>
      </c>
      <c r="F57" s="15">
        <v>905.34500000000003</v>
      </c>
      <c r="G57" s="20">
        <v>26113</v>
      </c>
      <c r="H57" s="20">
        <v>25373</v>
      </c>
      <c r="I57" s="15">
        <v>0</v>
      </c>
      <c r="J57" s="15">
        <v>911.60400000000004</v>
      </c>
      <c r="K57" s="20">
        <v>30286</v>
      </c>
      <c r="L57" s="20">
        <v>26758</v>
      </c>
      <c r="M57" s="15">
        <v>0</v>
      </c>
      <c r="N57" s="15">
        <v>964.60599999999999</v>
      </c>
      <c r="O57" s="1"/>
      <c r="P57" s="1"/>
      <c r="Q57" s="1"/>
    </row>
    <row r="58" spans="1:17" s="5" customFormat="1" ht="16.5" customHeight="1" x14ac:dyDescent="0.25">
      <c r="A58" s="10">
        <v>44</v>
      </c>
      <c r="B58" s="9" t="s">
        <v>82</v>
      </c>
      <c r="C58" s="20">
        <v>5571</v>
      </c>
      <c r="D58" s="20">
        <v>3053</v>
      </c>
      <c r="E58" s="15">
        <v>30.260999999999999</v>
      </c>
      <c r="F58" s="15">
        <v>376.25599999999997</v>
      </c>
      <c r="G58" s="20">
        <v>5462</v>
      </c>
      <c r="H58" s="20">
        <v>5287</v>
      </c>
      <c r="I58" s="15">
        <v>28.984000000000002</v>
      </c>
      <c r="J58" s="15">
        <v>291.97899999999998</v>
      </c>
      <c r="K58" s="20">
        <v>4891</v>
      </c>
      <c r="L58" s="20">
        <v>4286</v>
      </c>
      <c r="M58" s="15">
        <v>33.389000000000003</v>
      </c>
      <c r="N58" s="15">
        <v>210.60900000000001</v>
      </c>
      <c r="O58" s="1"/>
      <c r="P58" s="1"/>
      <c r="Q58" s="1"/>
    </row>
    <row r="59" spans="1:17" s="5" customFormat="1" ht="16.5" customHeight="1" x14ac:dyDescent="0.25">
      <c r="A59" s="10">
        <v>45</v>
      </c>
      <c r="B59" s="9" t="s">
        <v>14</v>
      </c>
      <c r="C59" s="20">
        <v>61452</v>
      </c>
      <c r="D59" s="20">
        <v>43687</v>
      </c>
      <c r="E59" s="15">
        <v>1837.5329999999999</v>
      </c>
      <c r="F59" s="15">
        <v>2844.63</v>
      </c>
      <c r="G59" s="20">
        <v>65515</v>
      </c>
      <c r="H59" s="20">
        <v>58116</v>
      </c>
      <c r="I59" s="15">
        <v>1924.6469999999999</v>
      </c>
      <c r="J59" s="15">
        <v>2277.578</v>
      </c>
      <c r="K59" s="20">
        <v>66803</v>
      </c>
      <c r="L59" s="20">
        <v>53790</v>
      </c>
      <c r="M59" s="15">
        <v>1919.5029999999999</v>
      </c>
      <c r="N59" s="15">
        <v>2467.3110000000001</v>
      </c>
      <c r="O59" s="1"/>
      <c r="P59" s="1"/>
      <c r="Q59" s="1"/>
    </row>
    <row r="60" spans="1:17" s="5" customFormat="1" ht="16.5" customHeight="1" x14ac:dyDescent="0.25">
      <c r="A60" s="10">
        <v>46</v>
      </c>
      <c r="B60" s="9" t="s">
        <v>15</v>
      </c>
      <c r="C60" s="20">
        <v>1674</v>
      </c>
      <c r="D60" s="20">
        <v>1929</v>
      </c>
      <c r="E60" s="15">
        <v>9.4510000000000005</v>
      </c>
      <c r="F60" s="15">
        <v>133.28800000000001</v>
      </c>
      <c r="G60" s="20">
        <v>1746</v>
      </c>
      <c r="H60" s="20">
        <v>1554</v>
      </c>
      <c r="I60" s="15">
        <v>1.3680000000000001</v>
      </c>
      <c r="J60" s="15">
        <v>93.697000000000003</v>
      </c>
      <c r="K60" s="20">
        <v>1655</v>
      </c>
      <c r="L60" s="20">
        <v>1827</v>
      </c>
      <c r="M60" s="15">
        <v>1.109</v>
      </c>
      <c r="N60" s="15">
        <v>103.922</v>
      </c>
      <c r="O60" s="1"/>
      <c r="P60" s="1"/>
      <c r="Q60" s="1"/>
    </row>
    <row r="61" spans="1:17" s="5" customFormat="1" ht="16.5" customHeight="1" x14ac:dyDescent="0.25">
      <c r="A61" s="10">
        <v>47</v>
      </c>
      <c r="B61" s="9" t="s">
        <v>16</v>
      </c>
      <c r="C61" s="20">
        <v>56106</v>
      </c>
      <c r="D61" s="20">
        <v>54012</v>
      </c>
      <c r="E61" s="15">
        <v>1693.1289999999999</v>
      </c>
      <c r="F61" s="15">
        <v>1603.6625000000008</v>
      </c>
      <c r="G61" s="20">
        <v>56096</v>
      </c>
      <c r="H61" s="20">
        <v>55349</v>
      </c>
      <c r="I61" s="15">
        <v>1549.502</v>
      </c>
      <c r="J61" s="15">
        <v>1450.2380000000001</v>
      </c>
      <c r="K61" s="20">
        <v>62047</v>
      </c>
      <c r="L61" s="20">
        <v>58097</v>
      </c>
      <c r="M61" s="15">
        <v>1778.95159191725</v>
      </c>
      <c r="N61" s="15">
        <v>1492.468875967588</v>
      </c>
      <c r="O61" s="1"/>
      <c r="P61" s="1"/>
      <c r="Q61" s="1"/>
    </row>
    <row r="62" spans="1:17" s="5" customFormat="1" ht="16.5" customHeight="1" x14ac:dyDescent="0.25">
      <c r="A62" s="10">
        <v>48</v>
      </c>
      <c r="B62" s="9" t="s">
        <v>43</v>
      </c>
      <c r="C62" s="20">
        <v>13734</v>
      </c>
      <c r="D62" s="20">
        <v>11977</v>
      </c>
      <c r="E62" s="15">
        <v>65.820999999999998</v>
      </c>
      <c r="F62" s="15">
        <v>97.153000000000006</v>
      </c>
      <c r="G62" s="20">
        <v>17874</v>
      </c>
      <c r="H62" s="20">
        <v>16553</v>
      </c>
      <c r="I62" s="15">
        <v>63.613</v>
      </c>
      <c r="J62" s="15">
        <v>62.25</v>
      </c>
      <c r="K62" s="20">
        <v>23266</v>
      </c>
      <c r="L62" s="20">
        <v>20327</v>
      </c>
      <c r="M62" s="15">
        <v>67.358999999999995</v>
      </c>
      <c r="N62" s="15">
        <v>65.162000000000006</v>
      </c>
      <c r="O62" s="1"/>
      <c r="P62" s="1"/>
      <c r="Q62" s="1"/>
    </row>
    <row r="63" spans="1:17" s="5" customFormat="1" ht="16.5" customHeight="1" x14ac:dyDescent="0.25">
      <c r="A63" s="10">
        <v>49</v>
      </c>
      <c r="B63" s="9" t="s">
        <v>45</v>
      </c>
      <c r="C63" s="20">
        <v>1872</v>
      </c>
      <c r="D63" s="20">
        <v>1576</v>
      </c>
      <c r="E63" s="15">
        <v>5.1420000000000003</v>
      </c>
      <c r="F63" s="15">
        <v>5.0831999999999997</v>
      </c>
      <c r="G63" s="20">
        <v>1082</v>
      </c>
      <c r="H63" s="20">
        <v>1058</v>
      </c>
      <c r="I63" s="15">
        <v>3.3</v>
      </c>
      <c r="J63" s="15">
        <v>3.4790000000000001</v>
      </c>
      <c r="K63" s="20">
        <v>2826</v>
      </c>
      <c r="L63" s="20">
        <v>2786</v>
      </c>
      <c r="M63" s="15">
        <v>4.2</v>
      </c>
      <c r="N63" s="15">
        <v>2.7250000000000001</v>
      </c>
      <c r="O63" s="1"/>
      <c r="P63" s="1"/>
      <c r="Q63" s="1"/>
    </row>
    <row r="64" spans="1:17" s="5" customFormat="1" ht="16.5" customHeight="1" x14ac:dyDescent="0.25">
      <c r="A64" s="10">
        <v>50</v>
      </c>
      <c r="B64" s="9" t="s">
        <v>72</v>
      </c>
      <c r="C64" s="20">
        <v>4492</v>
      </c>
      <c r="D64" s="20">
        <v>2678</v>
      </c>
      <c r="E64" s="15">
        <v>0</v>
      </c>
      <c r="F64" s="15">
        <v>0</v>
      </c>
      <c r="G64" s="20">
        <v>4227</v>
      </c>
      <c r="H64" s="20">
        <v>3063</v>
      </c>
      <c r="I64" s="15">
        <v>0</v>
      </c>
      <c r="J64" s="15">
        <v>0</v>
      </c>
      <c r="K64" s="20">
        <v>4840</v>
      </c>
      <c r="L64" s="20">
        <v>3929</v>
      </c>
      <c r="M64" s="15">
        <v>0</v>
      </c>
      <c r="N64" s="15">
        <v>0</v>
      </c>
      <c r="O64" s="1"/>
      <c r="P64" s="1"/>
      <c r="Q64" s="1"/>
    </row>
    <row r="65" spans="1:17" s="5" customFormat="1" ht="16.5" customHeight="1" x14ac:dyDescent="0.25">
      <c r="A65" s="10">
        <v>51</v>
      </c>
      <c r="B65" s="9" t="s">
        <v>46</v>
      </c>
      <c r="C65" s="20">
        <v>7368</v>
      </c>
      <c r="D65" s="20">
        <v>7449</v>
      </c>
      <c r="E65" s="15">
        <v>73.245999999999995</v>
      </c>
      <c r="F65" s="15">
        <v>20.337</v>
      </c>
      <c r="G65" s="20">
        <v>8115</v>
      </c>
      <c r="H65" s="20">
        <v>7234</v>
      </c>
      <c r="I65" s="15">
        <v>61.948999999999998</v>
      </c>
      <c r="J65" s="15">
        <v>19.899000000000001</v>
      </c>
      <c r="K65" s="20">
        <v>8726</v>
      </c>
      <c r="L65" s="20">
        <v>8180</v>
      </c>
      <c r="M65" s="15">
        <v>65.12</v>
      </c>
      <c r="N65" s="15">
        <v>20.117000000000001</v>
      </c>
      <c r="O65" s="1"/>
      <c r="P65" s="1"/>
      <c r="Q65" s="1"/>
    </row>
    <row r="66" spans="1:17" s="5" customFormat="1" ht="16.5" customHeight="1" x14ac:dyDescent="0.25">
      <c r="A66" s="10">
        <v>52</v>
      </c>
      <c r="B66" s="9" t="s">
        <v>17</v>
      </c>
      <c r="C66" s="20">
        <v>48309</v>
      </c>
      <c r="D66" s="20">
        <v>41955</v>
      </c>
      <c r="E66" s="15">
        <v>169.32144</v>
      </c>
      <c r="F66" s="15">
        <v>984.10898999999995</v>
      </c>
      <c r="G66" s="20">
        <v>52550</v>
      </c>
      <c r="H66" s="20">
        <v>48298</v>
      </c>
      <c r="I66" s="15">
        <v>183.00460000000001</v>
      </c>
      <c r="J66" s="15">
        <v>804.5077</v>
      </c>
      <c r="K66" s="20">
        <v>61596</v>
      </c>
      <c r="L66" s="20">
        <v>57791</v>
      </c>
      <c r="M66" s="15">
        <v>175.78840000000002</v>
      </c>
      <c r="N66" s="15">
        <v>840.95102999999995</v>
      </c>
      <c r="O66" s="1"/>
      <c r="P66" s="1"/>
      <c r="Q66" s="1"/>
    </row>
    <row r="67" spans="1:17" s="5" customFormat="1" ht="16.5" customHeight="1" x14ac:dyDescent="0.25">
      <c r="A67" s="10">
        <v>53</v>
      </c>
      <c r="B67" s="9" t="s">
        <v>62</v>
      </c>
      <c r="C67" s="20">
        <v>3051</v>
      </c>
      <c r="D67" s="20">
        <v>3138</v>
      </c>
      <c r="E67" s="15">
        <v>0.99270000000000003</v>
      </c>
      <c r="F67" s="15">
        <v>67.638999999999996</v>
      </c>
      <c r="G67" s="20">
        <v>2995</v>
      </c>
      <c r="H67" s="20">
        <v>2950</v>
      </c>
      <c r="I67" s="15">
        <v>3.26</v>
      </c>
      <c r="J67" s="15">
        <v>63.186999999999998</v>
      </c>
      <c r="K67" s="20">
        <v>3003</v>
      </c>
      <c r="L67" s="20">
        <v>2902</v>
      </c>
      <c r="M67" s="15">
        <v>2.0419999999999998</v>
      </c>
      <c r="N67" s="15">
        <v>50.37</v>
      </c>
      <c r="O67" s="1"/>
      <c r="P67" s="1"/>
      <c r="Q67" s="1"/>
    </row>
    <row r="68" spans="1:17" s="5" customFormat="1" ht="16.5" customHeight="1" x14ac:dyDescent="0.25">
      <c r="A68" s="10">
        <v>54</v>
      </c>
      <c r="B68" s="9" t="s">
        <v>18</v>
      </c>
      <c r="C68" s="20">
        <v>95195</v>
      </c>
      <c r="D68" s="20">
        <v>83249</v>
      </c>
      <c r="E68" s="15">
        <v>6111.2169999999996</v>
      </c>
      <c r="F68" s="15">
        <v>8203.9619999999995</v>
      </c>
      <c r="G68" s="20">
        <v>96613</v>
      </c>
      <c r="H68" s="20">
        <v>90957</v>
      </c>
      <c r="I68" s="15">
        <v>6293.9210000000003</v>
      </c>
      <c r="J68" s="15">
        <v>7737.0950000000003</v>
      </c>
      <c r="K68" s="20">
        <v>99873</v>
      </c>
      <c r="L68" s="20">
        <v>94133</v>
      </c>
      <c r="M68" s="15">
        <v>6776.4639999999999</v>
      </c>
      <c r="N68" s="15">
        <v>6987.1090000000004</v>
      </c>
      <c r="O68" s="1"/>
      <c r="P68" s="1"/>
      <c r="Q68" s="1"/>
    </row>
    <row r="69" spans="1:17" s="5" customFormat="1" ht="16.5" customHeight="1" x14ac:dyDescent="0.25">
      <c r="A69" s="10">
        <v>55</v>
      </c>
      <c r="B69" s="9" t="s">
        <v>75</v>
      </c>
      <c r="C69" s="20">
        <v>20030</v>
      </c>
      <c r="D69" s="20">
        <v>18069</v>
      </c>
      <c r="E69" s="15">
        <v>0.34100000000000003</v>
      </c>
      <c r="F69" s="15">
        <v>42.234999999999999</v>
      </c>
      <c r="G69" s="20">
        <v>19546</v>
      </c>
      <c r="H69" s="20">
        <v>17019</v>
      </c>
      <c r="I69" s="15">
        <v>0.63200000000000001</v>
      </c>
      <c r="J69" s="15">
        <v>26.402999999999999</v>
      </c>
      <c r="K69" s="20">
        <v>22519</v>
      </c>
      <c r="L69" s="20">
        <v>20861</v>
      </c>
      <c r="M69" s="15">
        <v>0.221</v>
      </c>
      <c r="N69" s="15">
        <v>47.140999999999998</v>
      </c>
      <c r="O69" s="1"/>
      <c r="P69" s="1"/>
      <c r="Q69" s="1"/>
    </row>
    <row r="70" spans="1:17" s="5" customFormat="1" ht="16.5" customHeight="1" x14ac:dyDescent="0.25">
      <c r="A70" s="10">
        <v>56</v>
      </c>
      <c r="B70" s="9" t="s">
        <v>63</v>
      </c>
      <c r="C70" s="20">
        <v>74619</v>
      </c>
      <c r="D70" s="20">
        <v>67521</v>
      </c>
      <c r="E70" s="15">
        <v>188.66800000000001</v>
      </c>
      <c r="F70" s="15">
        <v>2519.6030000000001</v>
      </c>
      <c r="G70" s="20">
        <v>72924</v>
      </c>
      <c r="H70" s="20">
        <v>68240</v>
      </c>
      <c r="I70" s="15">
        <v>144.036</v>
      </c>
      <c r="J70" s="15">
        <v>2197.547</v>
      </c>
      <c r="K70" s="20">
        <v>73754</v>
      </c>
      <c r="L70" s="20">
        <v>73564</v>
      </c>
      <c r="M70" s="15">
        <v>279.37099999999998</v>
      </c>
      <c r="N70" s="15">
        <v>1934.6969999999999</v>
      </c>
      <c r="O70" s="1"/>
      <c r="P70" s="1"/>
      <c r="Q70" s="1"/>
    </row>
    <row r="71" spans="1:17" s="5" customFormat="1" ht="16.5" customHeight="1" x14ac:dyDescent="0.25">
      <c r="A71" s="10">
        <v>57</v>
      </c>
      <c r="B71" s="9" t="s">
        <v>96</v>
      </c>
      <c r="C71" s="20">
        <v>212</v>
      </c>
      <c r="D71" s="20">
        <v>7</v>
      </c>
      <c r="E71" s="15">
        <v>0</v>
      </c>
      <c r="F71" s="15">
        <v>0</v>
      </c>
      <c r="G71" s="20">
        <v>1052</v>
      </c>
      <c r="H71" s="20">
        <v>958</v>
      </c>
      <c r="I71" s="15">
        <v>0</v>
      </c>
      <c r="J71" s="15">
        <v>3.5070000000000001</v>
      </c>
      <c r="K71" s="20">
        <v>1624</v>
      </c>
      <c r="L71" s="20">
        <v>1416</v>
      </c>
      <c r="M71" s="15">
        <v>0</v>
      </c>
      <c r="N71" s="15">
        <v>1.89</v>
      </c>
      <c r="O71" s="1"/>
      <c r="P71" s="1"/>
      <c r="Q71" s="1"/>
    </row>
    <row r="72" spans="1:17" s="5" customFormat="1" ht="16.5" customHeight="1" x14ac:dyDescent="0.25">
      <c r="A72" s="10">
        <v>58</v>
      </c>
      <c r="B72" s="9" t="s">
        <v>55</v>
      </c>
      <c r="C72" s="20">
        <v>33638</v>
      </c>
      <c r="D72" s="20">
        <v>28454</v>
      </c>
      <c r="E72" s="15">
        <v>20.350999999999999</v>
      </c>
      <c r="F72" s="15">
        <v>174.3777</v>
      </c>
      <c r="G72" s="20">
        <v>34751</v>
      </c>
      <c r="H72" s="20">
        <v>38293</v>
      </c>
      <c r="I72" s="15">
        <v>11.3683</v>
      </c>
      <c r="J72" s="15">
        <v>157.143</v>
      </c>
      <c r="K72" s="20">
        <v>37532</v>
      </c>
      <c r="L72" s="20">
        <v>34736</v>
      </c>
      <c r="M72" s="15">
        <v>22.267400000000002</v>
      </c>
      <c r="N72" s="15">
        <v>169.07689999999999</v>
      </c>
      <c r="O72" s="1"/>
      <c r="P72" s="1"/>
      <c r="Q72" s="1"/>
    </row>
    <row r="73" spans="1:17" s="5" customFormat="1" ht="16.5" customHeight="1" x14ac:dyDescent="0.25">
      <c r="A73" s="10">
        <v>59</v>
      </c>
      <c r="B73" s="9" t="s">
        <v>56</v>
      </c>
      <c r="C73" s="20">
        <v>104260</v>
      </c>
      <c r="D73" s="20">
        <v>94508</v>
      </c>
      <c r="E73" s="15">
        <v>3713.0189999999998</v>
      </c>
      <c r="F73" s="15">
        <v>3129.8969999999999</v>
      </c>
      <c r="G73" s="20">
        <v>113307</v>
      </c>
      <c r="H73" s="20">
        <v>106765</v>
      </c>
      <c r="I73" s="15">
        <v>3338.7240000000002</v>
      </c>
      <c r="J73" s="15">
        <v>2758.1210000000001</v>
      </c>
      <c r="K73" s="20">
        <v>115352</v>
      </c>
      <c r="L73" s="20">
        <v>110385</v>
      </c>
      <c r="M73" s="15">
        <v>3720.431</v>
      </c>
      <c r="N73" s="15">
        <v>2904.4059999999999</v>
      </c>
      <c r="O73" s="1"/>
      <c r="P73" s="1"/>
      <c r="Q73" s="1"/>
    </row>
    <row r="74" spans="1:17" s="5" customFormat="1" ht="16.5" customHeight="1" x14ac:dyDescent="0.25">
      <c r="A74" s="10">
        <v>60</v>
      </c>
      <c r="B74" s="9" t="s">
        <v>29</v>
      </c>
      <c r="C74" s="20">
        <v>37240</v>
      </c>
      <c r="D74" s="20">
        <v>41346</v>
      </c>
      <c r="E74" s="15">
        <v>493.26850000000002</v>
      </c>
      <c r="F74" s="15">
        <v>827.024</v>
      </c>
      <c r="G74" s="20">
        <v>40337</v>
      </c>
      <c r="H74" s="20">
        <v>42649</v>
      </c>
      <c r="I74" s="15">
        <v>340.60879999999997</v>
      </c>
      <c r="J74" s="15">
        <v>683.70399999999995</v>
      </c>
      <c r="K74" s="20">
        <v>48553</v>
      </c>
      <c r="L74" s="20">
        <v>51909</v>
      </c>
      <c r="M74" s="15">
        <v>345.88159999999999</v>
      </c>
      <c r="N74" s="15">
        <v>819.41800000000001</v>
      </c>
      <c r="O74" s="1"/>
      <c r="P74" s="1"/>
      <c r="Q74" s="1"/>
    </row>
    <row r="75" spans="1:17" s="5" customFormat="1" ht="16.5" customHeight="1" x14ac:dyDescent="0.25">
      <c r="A75" s="10">
        <v>61</v>
      </c>
      <c r="B75" s="9" t="s">
        <v>34</v>
      </c>
      <c r="C75" s="20">
        <v>13680</v>
      </c>
      <c r="D75" s="20">
        <v>12461</v>
      </c>
      <c r="E75" s="15">
        <v>680.23500000000001</v>
      </c>
      <c r="F75" s="15">
        <v>811.40099999999995</v>
      </c>
      <c r="G75" s="20">
        <v>13025</v>
      </c>
      <c r="H75" s="20">
        <v>12661</v>
      </c>
      <c r="I75" s="15">
        <v>583.40700000000004</v>
      </c>
      <c r="J75" s="15">
        <v>656.71400000000006</v>
      </c>
      <c r="K75" s="20">
        <v>13802</v>
      </c>
      <c r="L75" s="20">
        <v>12931</v>
      </c>
      <c r="M75" s="15">
        <v>615.49800000000005</v>
      </c>
      <c r="N75" s="15">
        <v>640.31600000000003</v>
      </c>
      <c r="O75" s="1"/>
      <c r="P75" s="1"/>
      <c r="Q75" s="1"/>
    </row>
    <row r="76" spans="1:17" s="5" customFormat="1" ht="16.5" customHeight="1" x14ac:dyDescent="0.25">
      <c r="A76" s="10">
        <v>62</v>
      </c>
      <c r="B76" s="9" t="s">
        <v>65</v>
      </c>
      <c r="C76" s="20">
        <v>28613</v>
      </c>
      <c r="D76" s="20">
        <v>30009</v>
      </c>
      <c r="E76" s="15">
        <v>110.29600000000001</v>
      </c>
      <c r="F76" s="15">
        <v>303.26683999999995</v>
      </c>
      <c r="G76" s="20">
        <v>38571</v>
      </c>
      <c r="H76" s="20">
        <v>39516</v>
      </c>
      <c r="I76" s="15">
        <v>107.45399999999999</v>
      </c>
      <c r="J76" s="15">
        <v>239.86207000000002</v>
      </c>
      <c r="K76" s="20">
        <v>42375</v>
      </c>
      <c r="L76" s="20">
        <v>45510</v>
      </c>
      <c r="M76" s="15">
        <v>151.09399999999999</v>
      </c>
      <c r="N76" s="15">
        <v>228.56216999999998</v>
      </c>
      <c r="O76" s="1"/>
      <c r="P76" s="1"/>
      <c r="Q76" s="1"/>
    </row>
    <row r="77" spans="1:17" s="5" customFormat="1" ht="16.5" customHeight="1" x14ac:dyDescent="0.25">
      <c r="A77" s="10">
        <v>63</v>
      </c>
      <c r="B77" s="9" t="s">
        <v>38</v>
      </c>
      <c r="C77" s="20">
        <v>57725</v>
      </c>
      <c r="D77" s="20">
        <v>52672</v>
      </c>
      <c r="E77" s="15">
        <v>2290.8739999999998</v>
      </c>
      <c r="F77" s="15">
        <v>2725.616</v>
      </c>
      <c r="G77" s="20">
        <v>72692</v>
      </c>
      <c r="H77" s="20">
        <v>65456</v>
      </c>
      <c r="I77" s="15">
        <v>2091.0709999999999</v>
      </c>
      <c r="J77" s="15">
        <v>2491.9789999999998</v>
      </c>
      <c r="K77" s="20">
        <v>76718</v>
      </c>
      <c r="L77" s="20">
        <v>73615</v>
      </c>
      <c r="M77" s="15">
        <v>2495.0659999999998</v>
      </c>
      <c r="N77" s="15">
        <v>2402.3020000000001</v>
      </c>
      <c r="O77" s="1"/>
      <c r="P77" s="1"/>
      <c r="Q77" s="1"/>
    </row>
    <row r="78" spans="1:17" s="5" customFormat="1" ht="16.5" customHeight="1" x14ac:dyDescent="0.25">
      <c r="A78" s="10">
        <v>64</v>
      </c>
      <c r="B78" s="9" t="s">
        <v>66</v>
      </c>
      <c r="C78" s="20">
        <v>8199</v>
      </c>
      <c r="D78" s="20">
        <v>8713</v>
      </c>
      <c r="E78" s="15">
        <v>116.97</v>
      </c>
      <c r="F78" s="15">
        <v>10.420999999999999</v>
      </c>
      <c r="G78" s="20">
        <v>11367</v>
      </c>
      <c r="H78" s="20">
        <v>10803</v>
      </c>
      <c r="I78" s="15">
        <v>111.854</v>
      </c>
      <c r="J78" s="15">
        <v>7.1669999999999998</v>
      </c>
      <c r="K78" s="20">
        <v>14444</v>
      </c>
      <c r="L78" s="20">
        <v>15167</v>
      </c>
      <c r="M78" s="15">
        <v>104.61</v>
      </c>
      <c r="N78" s="15">
        <v>8.0500000000000007</v>
      </c>
      <c r="O78" s="1"/>
      <c r="P78" s="1"/>
      <c r="Q78" s="1"/>
    </row>
    <row r="79" spans="1:17" s="5" customFormat="1" ht="16.5" customHeight="1" x14ac:dyDescent="0.25">
      <c r="A79" s="10">
        <v>65</v>
      </c>
      <c r="B79" s="9" t="s">
        <v>19</v>
      </c>
      <c r="C79" s="20">
        <v>23216</v>
      </c>
      <c r="D79" s="20">
        <v>17824</v>
      </c>
      <c r="E79" s="15">
        <v>2665.19542</v>
      </c>
      <c r="F79" s="15">
        <v>3705.0872899999999</v>
      </c>
      <c r="G79" s="20">
        <v>23628</v>
      </c>
      <c r="H79" s="20">
        <v>19675</v>
      </c>
      <c r="I79" s="15">
        <v>2854.9755599999999</v>
      </c>
      <c r="J79" s="15">
        <v>3398.5868100000002</v>
      </c>
      <c r="K79" s="20">
        <v>24359</v>
      </c>
      <c r="L79" s="20">
        <v>20660</v>
      </c>
      <c r="M79" s="15">
        <v>2800.9662899999998</v>
      </c>
      <c r="N79" s="15">
        <v>3524.4742999999999</v>
      </c>
      <c r="O79" s="1"/>
      <c r="P79" s="1"/>
      <c r="Q79" s="1"/>
    </row>
    <row r="80" spans="1:17" s="5" customFormat="1" ht="16.5" customHeight="1" x14ac:dyDescent="0.25">
      <c r="A80" s="10">
        <v>66</v>
      </c>
      <c r="B80" s="9" t="s">
        <v>20</v>
      </c>
      <c r="C80" s="20">
        <v>7682</v>
      </c>
      <c r="D80" s="20">
        <v>5535</v>
      </c>
      <c r="E80" s="15">
        <v>1.7088599999999998</v>
      </c>
      <c r="F80" s="15">
        <v>7.3319999999999999</v>
      </c>
      <c r="G80" s="20">
        <v>7430</v>
      </c>
      <c r="H80" s="20">
        <v>6121</v>
      </c>
      <c r="I80" s="15">
        <v>54.74821</v>
      </c>
      <c r="J80" s="15">
        <v>105.92230000000001</v>
      </c>
      <c r="K80" s="20">
        <v>7515</v>
      </c>
      <c r="L80" s="20">
        <v>6288</v>
      </c>
      <c r="M80" s="15">
        <v>52.432960000000001</v>
      </c>
      <c r="N80" s="15">
        <v>90.23872999999999</v>
      </c>
      <c r="O80" s="1"/>
      <c r="P80" s="1"/>
      <c r="Q80" s="1"/>
    </row>
    <row r="81" spans="1:17" s="5" customFormat="1" ht="16.5" customHeight="1" x14ac:dyDescent="0.25">
      <c r="A81" s="10">
        <v>67</v>
      </c>
      <c r="B81" s="9" t="s">
        <v>83</v>
      </c>
      <c r="C81" s="20">
        <v>0</v>
      </c>
      <c r="D81" s="20">
        <v>0</v>
      </c>
      <c r="E81" s="15">
        <v>2283.7020000000002</v>
      </c>
      <c r="F81" s="15">
        <v>3125.6480000000001</v>
      </c>
      <c r="G81" s="20">
        <v>0</v>
      </c>
      <c r="H81" s="20">
        <v>0</v>
      </c>
      <c r="I81" s="15">
        <v>3143.4839999999999</v>
      </c>
      <c r="J81" s="15">
        <v>4193.0349999999999</v>
      </c>
      <c r="K81" s="20">
        <v>0</v>
      </c>
      <c r="L81" s="20">
        <v>0</v>
      </c>
      <c r="M81" s="15">
        <v>3655.8539999999998</v>
      </c>
      <c r="N81" s="15">
        <v>4177.6580000000004</v>
      </c>
      <c r="O81" s="1"/>
      <c r="P81" s="1"/>
      <c r="Q81" s="1"/>
    </row>
    <row r="82" spans="1:17" s="5" customFormat="1" ht="16.5" customHeight="1" x14ac:dyDescent="0.25">
      <c r="A82" s="10">
        <v>68</v>
      </c>
      <c r="B82" s="9" t="s">
        <v>57</v>
      </c>
      <c r="C82" s="20">
        <v>1855</v>
      </c>
      <c r="D82" s="20">
        <v>1906</v>
      </c>
      <c r="E82" s="15">
        <v>1.2E-2</v>
      </c>
      <c r="F82" s="15">
        <v>2.8119999999999998</v>
      </c>
      <c r="G82" s="20">
        <v>1785</v>
      </c>
      <c r="H82" s="20">
        <v>1828</v>
      </c>
      <c r="I82" s="15">
        <v>7.0000000000000001E-3</v>
      </c>
      <c r="J82" s="15">
        <v>1.6830000000000001</v>
      </c>
      <c r="K82" s="20">
        <v>1470</v>
      </c>
      <c r="L82" s="20">
        <v>1638</v>
      </c>
      <c r="M82" s="15">
        <v>7.0000000000000007E-2</v>
      </c>
      <c r="N82" s="15">
        <v>7.4999999999999997E-2</v>
      </c>
      <c r="O82" s="1"/>
      <c r="P82" s="1"/>
      <c r="Q82" s="1"/>
    </row>
    <row r="83" spans="1:17" s="5" customFormat="1" ht="16.5" customHeight="1" x14ac:dyDescent="0.25">
      <c r="A83" s="10">
        <v>69</v>
      </c>
      <c r="B83" s="9" t="s">
        <v>76</v>
      </c>
      <c r="C83" s="20">
        <v>5946</v>
      </c>
      <c r="D83" s="20">
        <v>6600</v>
      </c>
      <c r="E83" s="15">
        <v>28.183</v>
      </c>
      <c r="F83" s="15">
        <v>176.017</v>
      </c>
      <c r="G83" s="20">
        <v>4562</v>
      </c>
      <c r="H83" s="20">
        <v>6363</v>
      </c>
      <c r="I83" s="15">
        <v>30.628</v>
      </c>
      <c r="J83" s="15">
        <v>160.12100000000001</v>
      </c>
      <c r="K83" s="20">
        <v>5526</v>
      </c>
      <c r="L83" s="20">
        <v>5455</v>
      </c>
      <c r="M83" s="15">
        <v>31.027999999999999</v>
      </c>
      <c r="N83" s="15">
        <v>148.20099999999999</v>
      </c>
      <c r="O83" s="1"/>
      <c r="P83" s="1"/>
      <c r="Q83" s="1"/>
    </row>
    <row r="84" spans="1:17" s="5" customFormat="1" ht="16.5" customHeight="1" x14ac:dyDescent="0.25">
      <c r="A84" s="10">
        <v>70</v>
      </c>
      <c r="B84" s="9" t="s">
        <v>67</v>
      </c>
      <c r="C84" s="20">
        <v>15989</v>
      </c>
      <c r="D84" s="20">
        <v>15150</v>
      </c>
      <c r="E84" s="15">
        <v>157.03299999999999</v>
      </c>
      <c r="F84" s="15">
        <v>162.66</v>
      </c>
      <c r="G84" s="20">
        <v>16012</v>
      </c>
      <c r="H84" s="20">
        <v>15974</v>
      </c>
      <c r="I84" s="15">
        <v>398.30599999999998</v>
      </c>
      <c r="J84" s="15">
        <v>260.03520000000003</v>
      </c>
      <c r="K84" s="20">
        <v>18006</v>
      </c>
      <c r="L84" s="20">
        <v>17586</v>
      </c>
      <c r="M84" s="15">
        <v>305.67599999999999</v>
      </c>
      <c r="N84" s="15">
        <v>346.3723</v>
      </c>
      <c r="O84" s="1"/>
      <c r="P84" s="1"/>
      <c r="Q84" s="1"/>
    </row>
    <row r="85" spans="1:17" s="5" customFormat="1" ht="16.5" customHeight="1" x14ac:dyDescent="0.25">
      <c r="A85" s="10">
        <v>71</v>
      </c>
      <c r="B85" s="9" t="s">
        <v>73</v>
      </c>
      <c r="C85" s="20">
        <v>7538</v>
      </c>
      <c r="D85" s="20">
        <v>6140</v>
      </c>
      <c r="E85" s="15">
        <v>518.44899999999996</v>
      </c>
      <c r="F85" s="15">
        <v>177.1935</v>
      </c>
      <c r="G85" s="20">
        <v>6635</v>
      </c>
      <c r="H85" s="20">
        <v>6959</v>
      </c>
      <c r="I85" s="15">
        <v>291.75099999999998</v>
      </c>
      <c r="J85" s="15">
        <v>133.66629999999998</v>
      </c>
      <c r="K85" s="20">
        <v>8710</v>
      </c>
      <c r="L85" s="20">
        <v>8957</v>
      </c>
      <c r="M85" s="15">
        <v>345.67099999999999</v>
      </c>
      <c r="N85" s="15">
        <v>191.179</v>
      </c>
      <c r="O85" s="1"/>
      <c r="P85" s="1"/>
      <c r="Q85" s="1"/>
    </row>
    <row r="86" spans="1:17" s="5" customFormat="1" ht="16.5" customHeight="1" x14ac:dyDescent="0.25">
      <c r="A86" s="10">
        <v>72</v>
      </c>
      <c r="B86" s="9" t="s">
        <v>21</v>
      </c>
      <c r="C86" s="20">
        <v>34798</v>
      </c>
      <c r="D86" s="20">
        <v>23472</v>
      </c>
      <c r="E86" s="15">
        <v>681.27300000000002</v>
      </c>
      <c r="F86" s="15">
        <v>2167.9639999999999</v>
      </c>
      <c r="G86" s="20">
        <v>47660</v>
      </c>
      <c r="H86" s="20">
        <v>37811</v>
      </c>
      <c r="I86" s="15">
        <v>772.58699999999999</v>
      </c>
      <c r="J86" s="15">
        <v>2121.5189999999998</v>
      </c>
      <c r="K86" s="20">
        <v>50784</v>
      </c>
      <c r="L86" s="20">
        <v>43331</v>
      </c>
      <c r="M86" s="15">
        <v>993.27700000000004</v>
      </c>
      <c r="N86" s="15">
        <v>2152.48</v>
      </c>
      <c r="O86" s="1"/>
      <c r="P86" s="1"/>
      <c r="Q86" s="1"/>
    </row>
    <row r="87" spans="1:17" s="5" customFormat="1" ht="16.5" customHeight="1" x14ac:dyDescent="0.25">
      <c r="A87" s="10">
        <v>73</v>
      </c>
      <c r="B87" s="9" t="s">
        <v>22</v>
      </c>
      <c r="C87" s="20">
        <v>96</v>
      </c>
      <c r="D87" s="20">
        <v>179</v>
      </c>
      <c r="E87" s="15">
        <v>0</v>
      </c>
      <c r="F87" s="15">
        <v>2.9267500000000002</v>
      </c>
      <c r="G87" s="20">
        <v>61</v>
      </c>
      <c r="H87" s="20">
        <v>280</v>
      </c>
      <c r="I87" s="15">
        <v>0</v>
      </c>
      <c r="J87" s="15">
        <v>1.6219000000000001</v>
      </c>
      <c r="K87" s="20">
        <v>170</v>
      </c>
      <c r="L87" s="20">
        <v>219</v>
      </c>
      <c r="M87" s="15">
        <v>0</v>
      </c>
      <c r="N87" s="15">
        <v>2.7990699999999999</v>
      </c>
      <c r="O87" s="1"/>
      <c r="P87" s="1"/>
      <c r="Q87" s="1"/>
    </row>
    <row r="88" spans="1:17" ht="16.5" customHeight="1" x14ac:dyDescent="0.25">
      <c r="A88" s="34" t="s">
        <v>89</v>
      </c>
      <c r="B88" s="34"/>
      <c r="C88" s="22">
        <f t="shared" ref="C88:N88" si="1">SUM(C15:C87)</f>
        <v>1703223</v>
      </c>
      <c r="D88" s="22">
        <f t="shared" si="1"/>
        <v>1527242</v>
      </c>
      <c r="E88" s="17">
        <f t="shared" si="1"/>
        <v>50682.408108000003</v>
      </c>
      <c r="F88" s="17">
        <f t="shared" si="1"/>
        <v>76064.217659000002</v>
      </c>
      <c r="G88" s="22">
        <f t="shared" si="1"/>
        <v>1823787</v>
      </c>
      <c r="H88" s="22">
        <f t="shared" si="1"/>
        <v>1712578</v>
      </c>
      <c r="I88" s="17">
        <f t="shared" si="1"/>
        <v>50124.339103999984</v>
      </c>
      <c r="J88" s="17">
        <f t="shared" si="1"/>
        <v>69699.457848999984</v>
      </c>
      <c r="K88" s="22">
        <f t="shared" si="1"/>
        <v>1946693</v>
      </c>
      <c r="L88" s="22">
        <f t="shared" si="1"/>
        <v>1814385</v>
      </c>
      <c r="M88" s="17">
        <f t="shared" si="1"/>
        <v>53739.485868917232</v>
      </c>
      <c r="N88" s="17">
        <f t="shared" si="1"/>
        <v>70607.879773967565</v>
      </c>
    </row>
    <row r="89" spans="1:17" s="8" customFormat="1" ht="16.5" customHeight="1" x14ac:dyDescent="0.25">
      <c r="A89" s="35" t="s">
        <v>90</v>
      </c>
      <c r="B89" s="35"/>
      <c r="C89" s="25">
        <f t="shared" ref="C89:N89" si="2">C13+C88</f>
        <v>3137468</v>
      </c>
      <c r="D89" s="25">
        <f t="shared" si="2"/>
        <v>2858191</v>
      </c>
      <c r="E89" s="18">
        <f t="shared" si="2"/>
        <v>58231.450628000006</v>
      </c>
      <c r="F89" s="18">
        <f t="shared" si="2"/>
        <v>90635.540279000008</v>
      </c>
      <c r="G89" s="25">
        <f t="shared" si="2"/>
        <v>3262820</v>
      </c>
      <c r="H89" s="25">
        <f t="shared" si="2"/>
        <v>3085850</v>
      </c>
      <c r="I89" s="18">
        <f t="shared" si="2"/>
        <v>58248.657533999984</v>
      </c>
      <c r="J89" s="18">
        <f t="shared" si="2"/>
        <v>85054.802578999981</v>
      </c>
      <c r="K89" s="25">
        <f t="shared" si="2"/>
        <v>3523408</v>
      </c>
      <c r="L89" s="25">
        <f t="shared" si="2"/>
        <v>3289577</v>
      </c>
      <c r="M89" s="18">
        <f t="shared" si="2"/>
        <v>64126.707016199158</v>
      </c>
      <c r="N89" s="18">
        <f t="shared" si="2"/>
        <v>87031.218146306172</v>
      </c>
    </row>
    <row r="90" spans="1:17" s="8" customFormat="1" ht="19.5" customHeight="1" x14ac:dyDescent="0.25">
      <c r="A90" s="28" t="s">
        <v>91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30"/>
    </row>
    <row r="91" spans="1:17" s="8" customFormat="1" ht="31.5" customHeight="1" x14ac:dyDescent="0.25">
      <c r="A91" s="27" t="s">
        <v>28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</row>
  </sheetData>
  <mergeCells count="14">
    <mergeCell ref="A1:N1"/>
    <mergeCell ref="A2:N2"/>
    <mergeCell ref="A3:A4"/>
    <mergeCell ref="B3:B4"/>
    <mergeCell ref="C3:F3"/>
    <mergeCell ref="G3:J3"/>
    <mergeCell ref="K3:N3"/>
    <mergeCell ref="A91:N91"/>
    <mergeCell ref="A90:N90"/>
    <mergeCell ref="A5:N5"/>
    <mergeCell ref="A13:B13"/>
    <mergeCell ref="A14:N14"/>
    <mergeCell ref="A88:B88"/>
    <mergeCell ref="A89:B89"/>
  </mergeCells>
  <printOptions horizontalCentered="1"/>
  <pageMargins left="0" right="0" top="3.937007874015748E-2" bottom="3.937007874015748E-2" header="0.31496062992125984" footer="0.31496062992125984"/>
  <pageSetup scale="55" fitToHeight="2" orientation="landscape" r:id="rId1"/>
  <headerFooter>
    <oddFooter>Page &amp;P of &amp;N</oddFooter>
  </headerFooter>
  <rowBreaks count="1" manualBreakCount="1">
    <brk id="56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2025-04-08T11:34:23Z</dcterms:modified>
</cp:coreProperties>
</file>