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MONTHWISE" sheetId="2" r:id="rId1"/>
  </sheets>
  <definedNames>
    <definedName name="_">#REF!</definedName>
    <definedName name="_xlnm._FilterDatabase" localSheetId="0" hidden="1">MONTHWISE!#REF!</definedName>
    <definedName name="_xlnm.Print_Area" localSheetId="0">MONTHWISE!$A$1:$N$92</definedName>
    <definedName name="Print_Area_1">#REF!</definedName>
    <definedName name="Print_Area_2">#REF!</definedName>
    <definedName name="Print_Area_3">#REF!</definedName>
    <definedName name="_xlnm.Print_Titles" localSheetId="0">MONTHWISE!$A:$B,MONTHWISE!$1:$4</definedName>
  </definedNames>
  <calcPr calcId="152511"/>
</workbook>
</file>

<file path=xl/calcChain.xml><?xml version="1.0" encoding="utf-8"?>
<calcChain xmlns="http://schemas.openxmlformats.org/spreadsheetml/2006/main">
  <c r="C13" i="2" l="1"/>
  <c r="D13" i="2"/>
  <c r="E13" i="2"/>
  <c r="F13" i="2"/>
  <c r="G13" i="2"/>
  <c r="H13" i="2"/>
  <c r="I13" i="2"/>
  <c r="J13" i="2"/>
  <c r="K13" i="2"/>
  <c r="L13" i="2"/>
  <c r="M13" i="2"/>
  <c r="N13" i="2"/>
  <c r="D89" i="2"/>
  <c r="E89" i="2"/>
  <c r="F89" i="2"/>
  <c r="G89" i="2"/>
  <c r="H89" i="2"/>
  <c r="I89" i="2"/>
  <c r="J89" i="2"/>
  <c r="K89" i="2"/>
  <c r="L89" i="2"/>
  <c r="M89" i="2"/>
  <c r="N89" i="2"/>
  <c r="C89" i="2"/>
  <c r="D90" i="2" l="1"/>
  <c r="E90" i="2"/>
  <c r="F90" i="2"/>
  <c r="G90" i="2"/>
  <c r="H90" i="2"/>
  <c r="I90" i="2"/>
  <c r="J90" i="2"/>
  <c r="K90" i="2"/>
  <c r="L90" i="2"/>
  <c r="M90" i="2"/>
  <c r="N90" i="2"/>
  <c r="C90" i="2" l="1"/>
</calcChain>
</file>

<file path=xl/sharedStrings.xml><?xml version="1.0" encoding="utf-8"?>
<sst xmlns="http://schemas.openxmlformats.org/spreadsheetml/2006/main" count="107" uniqueCount="99">
  <si>
    <t>NAME OF THE AIRLINE</t>
  </si>
  <si>
    <t>DOMESTIC CARRIERS</t>
  </si>
  <si>
    <t>AIR INDIA</t>
  </si>
  <si>
    <t>TOTAL (DOMESTIC CARRIERS)</t>
  </si>
  <si>
    <t xml:space="preserve">FOREIGN CARRIERS </t>
  </si>
  <si>
    <t>AEROFLOT</t>
  </si>
  <si>
    <t>AEROLOGIC</t>
  </si>
  <si>
    <t>AIR ARABIA</t>
  </si>
  <si>
    <t>BIMAN BANGLADESH</t>
  </si>
  <si>
    <t>CATHAY PACIFIC</t>
  </si>
  <si>
    <t>DRUK AIR</t>
  </si>
  <si>
    <t>FEDERAL EXPRESS</t>
  </si>
  <si>
    <t>IRAQI AIRWAYS</t>
  </si>
  <si>
    <t>ISLAND AVIATION SERVICES</t>
  </si>
  <si>
    <t>JAPAN AIRLINES</t>
  </si>
  <si>
    <t>KENYA AIRWAYS</t>
  </si>
  <si>
    <t>KOREAN AIR</t>
  </si>
  <si>
    <t>LUFTHANSA</t>
  </si>
  <si>
    <t>MAHAN AIR</t>
  </si>
  <si>
    <t>MALAYSIA AIRLINES</t>
  </si>
  <si>
    <t>OMAN AIR</t>
  </si>
  <si>
    <t>QATAR AIRWAYS</t>
  </si>
  <si>
    <t>TURKISH AIRLINES</t>
  </si>
  <si>
    <t>UNITED AIRLINES</t>
  </si>
  <si>
    <t>UZBEKISTAN AIRWAYS</t>
  </si>
  <si>
    <t>VIRGIN ATLANTIC AIRLINES</t>
  </si>
  <si>
    <t>YEMENIA AIRWAYS</t>
  </si>
  <si>
    <t>TOTAL (FOREIGN CARRIERS)</t>
  </si>
  <si>
    <t>TOTAL (DOMESTIC &amp; FOREIGN CARRIERS)</t>
  </si>
  <si>
    <t>(PASSENGERS IN NUMBER AND FREIGHT IN TONNES)</t>
  </si>
  <si>
    <t>PASSENGERS TO INDIA</t>
  </si>
  <si>
    <t>PASSENGERS FROM INDIA</t>
  </si>
  <si>
    <t>FREIGHT TO INDIA</t>
  </si>
  <si>
    <t>FREIGHT FROM INDIA</t>
  </si>
  <si>
    <t>P-Provisional</t>
  </si>
  <si>
    <t>SRILANKAN AIRWAYS</t>
  </si>
  <si>
    <t>SL. No.</t>
  </si>
  <si>
    <t>EMIRATES AIRLINE</t>
  </si>
  <si>
    <t>ETHIOPIAN AIRLINES</t>
  </si>
  <si>
    <t>GULF AIR</t>
  </si>
  <si>
    <t>SWISS AIR</t>
  </si>
  <si>
    <t>VISTARA AIRLINES</t>
  </si>
  <si>
    <t>AIR CANADA</t>
  </si>
  <si>
    <t>AIR FRANCE</t>
  </si>
  <si>
    <t>KLM AIRLINES</t>
  </si>
  <si>
    <t>THAI AIRWAYS</t>
  </si>
  <si>
    <t>ALL NIPPON AIRWAYS</t>
  </si>
  <si>
    <t>AIR ASIA X</t>
  </si>
  <si>
    <t>AIR MAURITIUS</t>
  </si>
  <si>
    <t>KUWAIT AIRWAYS</t>
  </si>
  <si>
    <t>LOT POLISH</t>
  </si>
  <si>
    <t>MALINDO AIRWAYS</t>
  </si>
  <si>
    <t>FLY DUBAI</t>
  </si>
  <si>
    <t>MYANMAR AIRLINES</t>
  </si>
  <si>
    <t>NEPAL AIRLINES CORPORATION</t>
  </si>
  <si>
    <t>RWANDAIR</t>
  </si>
  <si>
    <t>AIR SEYCHELLES</t>
  </si>
  <si>
    <t>JAZEERA AIRWAYS</t>
  </si>
  <si>
    <t>EGYPT AIR</t>
  </si>
  <si>
    <t>AIR INDIA EXPRESS</t>
  </si>
  <si>
    <t>GO AIR</t>
  </si>
  <si>
    <t>INDIGO</t>
  </si>
  <si>
    <t>SPICEJET</t>
  </si>
  <si>
    <t>AIR ASIA BERHAD</t>
  </si>
  <si>
    <t>CHINA AIRLINES LTD</t>
  </si>
  <si>
    <t>FINN AIR</t>
  </si>
  <si>
    <t>FLYNAS</t>
  </si>
  <si>
    <t>SCOOT TIGER AIR</t>
  </si>
  <si>
    <t>SINGAPORE AIRLINES</t>
  </si>
  <si>
    <t>UNITED PARCEL SERVICES</t>
  </si>
  <si>
    <t>US BANGLA AIRLINES</t>
  </si>
  <si>
    <t>AIR ARABIA-ABU DHABI</t>
  </si>
  <si>
    <t>AIR TANZANIA</t>
  </si>
  <si>
    <t>AMERICAN AIRLINES</t>
  </si>
  <si>
    <t>ARIANA AFGHAN</t>
  </si>
  <si>
    <t>NOVO AIR</t>
  </si>
  <si>
    <t>QANTAS AIRLINES</t>
  </si>
  <si>
    <t>SALAM AIR</t>
  </si>
  <si>
    <t>SAUDIA</t>
  </si>
  <si>
    <t>THAI SMILE AIRWAYS</t>
  </si>
  <si>
    <t>AIR AUSTRAL</t>
  </si>
  <si>
    <t>BRITISH AIRWAYS</t>
  </si>
  <si>
    <t>BUDDHA AIR</t>
  </si>
  <si>
    <t>THAI AIR ASIA</t>
  </si>
  <si>
    <t>THAI LION AIR</t>
  </si>
  <si>
    <t>VIETJET AIR</t>
  </si>
  <si>
    <t>AZERBAIJAN AIRLINES</t>
  </si>
  <si>
    <t>Note: This table does not include the passengers and freight carried by domestic carriers entirely outside the Indian territory.</t>
  </si>
  <si>
    <t>ALLIANCE AIR</t>
  </si>
  <si>
    <t>AERO NOMAD</t>
  </si>
  <si>
    <t>BHUTAN AIRLINES</t>
  </si>
  <si>
    <t>AIR ASTANA</t>
  </si>
  <si>
    <t>ETIHAD AIRLINES</t>
  </si>
  <si>
    <t>SCAT AIRLINES</t>
  </si>
  <si>
    <t>TABLE 2. AIRLINEWISE MONTHLY INTERNATIONAL TRAFFIC STATISTICS (SCHEDULED) FOR THE QUARTER JANUARY-MARCH 2023 (P)</t>
  </si>
  <si>
    <t>NEOS SPA</t>
  </si>
  <si>
    <t>JANUARY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</si>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</sst>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rgb="FFFF0000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10" fillId="0" borderId="0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/>
    <xf numFmtId="164" fontId="8" fillId="0" borderId="1" xfId="0" applyNumberFormat="1" applyFont="1" applyBorder="1" applyAlignment="1"/>
    <xf numFmtId="0" fontId="8" fillId="0" borderId="1" xfId="0" applyFont="1" applyBorder="1" applyAlignment="1">
      <alignment wrapText="1"/>
    </xf>
    <xf numFmtId="164" fontId="8" fillId="0" borderId="1" xfId="0" applyNumberFormat="1" applyFont="1" applyFill="1" applyBorder="1" applyAlignment="1"/>
    <xf numFmtId="0" fontId="8" fillId="0" borderId="1" xfId="0" applyFont="1" applyFill="1" applyBorder="1" applyAlignment="1"/>
    <xf numFmtId="0" fontId="8" fillId="0" borderId="1" xfId="0" applyFont="1" applyFill="1" applyBorder="1" applyAlignment="1">
      <alignment horizontal="left" wrapText="1"/>
    </xf>
    <xf numFmtId="0" fontId="7" fillId="4" borderId="1" xfId="0" applyFont="1" applyFill="1" applyBorder="1" applyAlignment="1"/>
    <xf numFmtId="164" fontId="7" fillId="4" borderId="1" xfId="0" applyNumberFormat="1" applyFont="1" applyFill="1" applyBorder="1" applyAlignment="1"/>
    <xf numFmtId="0" fontId="7" fillId="3" borderId="1" xfId="0" applyFont="1" applyFill="1" applyBorder="1" applyAlignment="1"/>
    <xf numFmtId="164" fontId="7" fillId="3" borderId="1" xfId="0" applyNumberFormat="1" applyFont="1" applyFill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Views>
    <sheetView tabSelected="1" view="pageBreakPreview" zoomScale="70" zoomScaleNormal="55" zoomScaleSheetLayoutView="70" workbookViewId="0">
      <selection activeCell="B6" sqref="B6:N12"/>
    </sheetView>
  </sheetViews>
  <sheetFormatPr defaultRowHeight="15" x14ac:dyDescent="0.25"/>
  <cols>
    <col min="1" max="1" width="9" style="1" customWidth="1"/>
    <col min="2" max="2" width="41.5703125" style="9" customWidth="1"/>
    <col min="3" max="3" width="16.7109375" style="1" customWidth="1"/>
    <col min="4" max="4" width="15.85546875" style="1" customWidth="1"/>
    <col min="5" max="6" width="16.7109375" style="1" customWidth="1"/>
    <col min="7" max="7" width="15.28515625" style="1" customWidth="1"/>
    <col min="8" max="8" width="16.7109375" style="1" customWidth="1"/>
    <col min="9" max="9" width="13.28515625" style="1" customWidth="1"/>
    <col min="10" max="11" width="16.7109375" style="1" customWidth="1"/>
    <col min="12" max="12" width="12.5703125" style="1" customWidth="1"/>
    <col min="13" max="13" width="12.28515625" style="1" customWidth="1"/>
    <col min="14" max="14" width="13.140625" style="1" customWidth="1"/>
    <col min="15" max="25" width="12.42578125" style="1" customWidth="1"/>
    <col min="26" max="16384" width="9.140625" style="1"/>
  </cols>
  <sheetData>
    <row r="1" spans="1:14" ht="52.5" customHeight="1" x14ac:dyDescent="0.25">
      <c r="A1" s="32" t="s">
        <v>94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s="2" customFormat="1" ht="25.5" customHeight="1" x14ac:dyDescent="0.25">
      <c r="A2" s="33" t="s">
        <v>29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21" customHeight="1" x14ac:dyDescent="0.25">
      <c r="A3" s="34" t="s">
        <v>36</v>
      </c>
      <c r="B3" s="35" t="s">
        <v>0</v>
      </c>
      <c r="C3" s="34" t="s">
        <v>96</v>
      </c>
      <c r="D3" s="34"/>
      <c r="E3" s="34"/>
      <c r="F3" s="34"/>
      <c r="G3" s="34" t="s">
        <v>97</v>
      </c>
      <c r="H3" s="34"/>
      <c r="I3" s="34"/>
      <c r="J3" s="34"/>
      <c r="K3" s="34" t="s">
        <v>98</v>
      </c>
      <c r="L3" s="34"/>
      <c r="M3" s="34"/>
      <c r="N3" s="34"/>
    </row>
    <row r="4" spans="1:14" s="9" customFormat="1" ht="42" customHeight="1" x14ac:dyDescent="0.25">
      <c r="A4" s="34"/>
      <c r="B4" s="35"/>
      <c r="C4" s="22" t="s">
        <v>30</v>
      </c>
      <c r="D4" s="22" t="s">
        <v>31</v>
      </c>
      <c r="E4" s="22" t="s">
        <v>32</v>
      </c>
      <c r="F4" s="22" t="s">
        <v>33</v>
      </c>
      <c r="G4" s="22" t="s">
        <v>30</v>
      </c>
      <c r="H4" s="22" t="s">
        <v>31</v>
      </c>
      <c r="I4" s="22" t="s">
        <v>32</v>
      </c>
      <c r="J4" s="22" t="s">
        <v>33</v>
      </c>
      <c r="K4" s="22" t="s">
        <v>30</v>
      </c>
      <c r="L4" s="22" t="s">
        <v>31</v>
      </c>
      <c r="M4" s="22" t="s">
        <v>32</v>
      </c>
      <c r="N4" s="22" t="s">
        <v>33</v>
      </c>
    </row>
    <row r="5" spans="1:14" ht="27" customHeight="1" x14ac:dyDescent="0.25">
      <c r="A5" s="27" t="s">
        <v>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 s="4" customFormat="1" ht="19.5" customHeight="1" x14ac:dyDescent="0.25">
      <c r="A6" s="3">
        <v>1</v>
      </c>
      <c r="B6" s="11" t="s">
        <v>2</v>
      </c>
      <c r="C6" s="12">
        <v>319189</v>
      </c>
      <c r="D6" s="12">
        <v>330405</v>
      </c>
      <c r="E6" s="13">
        <v>3077.9480000000008</v>
      </c>
      <c r="F6" s="13">
        <v>4695.8421000000008</v>
      </c>
      <c r="G6" s="12">
        <v>291181</v>
      </c>
      <c r="H6" s="12">
        <v>308733</v>
      </c>
      <c r="I6" s="13">
        <v>3804.1172000000006</v>
      </c>
      <c r="J6" s="13">
        <v>4853.3949999999986</v>
      </c>
      <c r="K6" s="12">
        <v>311477</v>
      </c>
      <c r="L6" s="12">
        <v>351561</v>
      </c>
      <c r="M6" s="13">
        <v>3698.7</v>
      </c>
      <c r="N6" s="13">
        <v>6436.0829999999996</v>
      </c>
    </row>
    <row r="7" spans="1:14" s="4" customFormat="1" ht="19.5" customHeight="1" x14ac:dyDescent="0.25">
      <c r="A7" s="3">
        <v>2</v>
      </c>
      <c r="B7" s="14" t="s">
        <v>59</v>
      </c>
      <c r="C7" s="12">
        <v>190072</v>
      </c>
      <c r="D7" s="12">
        <v>208147</v>
      </c>
      <c r="E7" s="15">
        <v>76.847999999999999</v>
      </c>
      <c r="F7" s="15">
        <v>1937.3320000000001</v>
      </c>
      <c r="G7" s="12">
        <v>157215</v>
      </c>
      <c r="H7" s="12">
        <v>196573</v>
      </c>
      <c r="I7" s="13">
        <v>46.222000000000001</v>
      </c>
      <c r="J7" s="13">
        <v>1745.9590000000001</v>
      </c>
      <c r="K7" s="12">
        <v>161048</v>
      </c>
      <c r="L7" s="12">
        <v>209308</v>
      </c>
      <c r="M7" s="13">
        <v>151.88999999999999</v>
      </c>
      <c r="N7" s="13">
        <v>2159.73</v>
      </c>
    </row>
    <row r="8" spans="1:14" s="4" customFormat="1" ht="19.5" customHeight="1" x14ac:dyDescent="0.25">
      <c r="A8" s="3">
        <v>3</v>
      </c>
      <c r="B8" s="14" t="s">
        <v>88</v>
      </c>
      <c r="C8" s="12">
        <v>908</v>
      </c>
      <c r="D8" s="12">
        <v>783</v>
      </c>
      <c r="E8" s="15">
        <v>0</v>
      </c>
      <c r="F8" s="15">
        <v>0</v>
      </c>
      <c r="G8" s="12">
        <v>972</v>
      </c>
      <c r="H8" s="12">
        <v>986</v>
      </c>
      <c r="I8" s="13">
        <v>0</v>
      </c>
      <c r="J8" s="13">
        <v>0</v>
      </c>
      <c r="K8" s="12">
        <v>1034</v>
      </c>
      <c r="L8" s="12">
        <v>888</v>
      </c>
      <c r="M8" s="13">
        <v>0</v>
      </c>
      <c r="N8" s="13">
        <v>0</v>
      </c>
    </row>
    <row r="9" spans="1:14" s="4" customFormat="1" ht="19.5" customHeight="1" x14ac:dyDescent="0.25">
      <c r="A9" s="3">
        <v>4</v>
      </c>
      <c r="B9" s="11" t="s">
        <v>60</v>
      </c>
      <c r="C9" s="12">
        <v>61673</v>
      </c>
      <c r="D9" s="12">
        <v>65088</v>
      </c>
      <c r="E9" s="13">
        <v>78.859229999999997</v>
      </c>
      <c r="F9" s="13">
        <v>259.74070999999998</v>
      </c>
      <c r="G9" s="12">
        <v>53652</v>
      </c>
      <c r="H9" s="12">
        <v>60800</v>
      </c>
      <c r="I9" s="13">
        <v>75.715049999999991</v>
      </c>
      <c r="J9" s="13">
        <v>210.94378</v>
      </c>
      <c r="K9" s="16">
        <v>56186</v>
      </c>
      <c r="L9" s="16">
        <v>61750</v>
      </c>
      <c r="M9" s="15">
        <v>82.136899999999997</v>
      </c>
      <c r="N9" s="15">
        <v>199.05461000000003</v>
      </c>
    </row>
    <row r="10" spans="1:14" s="4" customFormat="1" ht="19.5" customHeight="1" x14ac:dyDescent="0.25">
      <c r="A10" s="3">
        <v>5</v>
      </c>
      <c r="B10" s="11" t="s">
        <v>61</v>
      </c>
      <c r="C10" s="12">
        <v>393523</v>
      </c>
      <c r="D10" s="12">
        <v>417458</v>
      </c>
      <c r="E10" s="13">
        <v>233.97300000000001</v>
      </c>
      <c r="F10" s="13">
        <v>2175.3119999999999</v>
      </c>
      <c r="G10" s="12">
        <v>356862</v>
      </c>
      <c r="H10" s="12">
        <v>400645</v>
      </c>
      <c r="I10" s="13">
        <v>292.779</v>
      </c>
      <c r="J10" s="13">
        <v>2382.924</v>
      </c>
      <c r="K10" s="12">
        <v>378904</v>
      </c>
      <c r="L10" s="12">
        <v>448636</v>
      </c>
      <c r="M10" s="13">
        <v>399.60768000000007</v>
      </c>
      <c r="N10" s="13">
        <v>2890.8770799999998</v>
      </c>
    </row>
    <row r="11" spans="1:14" s="4" customFormat="1" ht="19.5" customHeight="1" x14ac:dyDescent="0.25">
      <c r="A11" s="3">
        <v>6</v>
      </c>
      <c r="B11" s="14" t="s">
        <v>62</v>
      </c>
      <c r="C11" s="12">
        <v>84389</v>
      </c>
      <c r="D11" s="12">
        <v>92077</v>
      </c>
      <c r="E11" s="15">
        <v>50.800059999999995</v>
      </c>
      <c r="F11" s="15">
        <v>550.74441999999988</v>
      </c>
      <c r="G11" s="12">
        <v>76879</v>
      </c>
      <c r="H11" s="12">
        <v>84164</v>
      </c>
      <c r="I11" s="13">
        <v>36.538820000000001</v>
      </c>
      <c r="J11" s="13">
        <v>504.51436999999999</v>
      </c>
      <c r="K11" s="12">
        <v>81825</v>
      </c>
      <c r="L11" s="12">
        <v>94962</v>
      </c>
      <c r="M11" s="13">
        <v>39.368000000000002</v>
      </c>
      <c r="N11" s="13">
        <v>530.39721999999995</v>
      </c>
    </row>
    <row r="12" spans="1:14" s="4" customFormat="1" ht="19.5" customHeight="1" x14ac:dyDescent="0.25">
      <c r="A12" s="3">
        <v>7</v>
      </c>
      <c r="B12" s="14" t="s">
        <v>41</v>
      </c>
      <c r="C12" s="12">
        <v>70038</v>
      </c>
      <c r="D12" s="12">
        <v>74795</v>
      </c>
      <c r="E12" s="15">
        <v>773.69349999999997</v>
      </c>
      <c r="F12" s="15">
        <v>801.71450000000004</v>
      </c>
      <c r="G12" s="12">
        <v>67577</v>
      </c>
      <c r="H12" s="12">
        <v>71479</v>
      </c>
      <c r="I12" s="13">
        <v>846.78949999999998</v>
      </c>
      <c r="J12" s="13">
        <v>981.96050000000002</v>
      </c>
      <c r="K12" s="12">
        <v>79570</v>
      </c>
      <c r="L12" s="12">
        <v>87684</v>
      </c>
      <c r="M12" s="13">
        <v>0</v>
      </c>
      <c r="N12" s="13">
        <v>1300.8512000000001</v>
      </c>
    </row>
    <row r="13" spans="1:14" ht="31.5" customHeight="1" x14ac:dyDescent="0.25">
      <c r="A13" s="28" t="s">
        <v>3</v>
      </c>
      <c r="B13" s="28"/>
      <c r="C13" s="5">
        <f t="shared" ref="C13:N13" si="0">SUM(C6:C12)</f>
        <v>1119792</v>
      </c>
      <c r="D13" s="5">
        <f t="shared" si="0"/>
        <v>1188753</v>
      </c>
      <c r="E13" s="6">
        <f t="shared" si="0"/>
        <v>4292.1217900000011</v>
      </c>
      <c r="F13" s="6">
        <f t="shared" si="0"/>
        <v>10420.685729999999</v>
      </c>
      <c r="G13" s="5">
        <f t="shared" si="0"/>
        <v>1004338</v>
      </c>
      <c r="H13" s="5">
        <f t="shared" si="0"/>
        <v>1123380</v>
      </c>
      <c r="I13" s="6">
        <f t="shared" si="0"/>
        <v>5102.1615700000002</v>
      </c>
      <c r="J13" s="6">
        <f t="shared" si="0"/>
        <v>10679.696649999998</v>
      </c>
      <c r="K13" s="5">
        <f t="shared" si="0"/>
        <v>1070044</v>
      </c>
      <c r="L13" s="5">
        <f t="shared" si="0"/>
        <v>1254789</v>
      </c>
      <c r="M13" s="6">
        <f t="shared" si="0"/>
        <v>4371.7025800000001</v>
      </c>
      <c r="N13" s="6">
        <f t="shared" si="0"/>
        <v>13516.993109999999</v>
      </c>
    </row>
    <row r="14" spans="1:14" ht="28.5" customHeight="1" x14ac:dyDescent="0.25">
      <c r="A14" s="29" t="s">
        <v>4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14" ht="24.75" customHeight="1" x14ac:dyDescent="0.25">
      <c r="A15" s="10">
        <v>1</v>
      </c>
      <c r="B15" s="11" t="s">
        <v>89</v>
      </c>
      <c r="C15" s="12">
        <v>394</v>
      </c>
      <c r="D15" s="12">
        <v>261</v>
      </c>
      <c r="E15" s="13">
        <v>0</v>
      </c>
      <c r="F15" s="13">
        <v>10.807</v>
      </c>
      <c r="G15" s="12">
        <v>295</v>
      </c>
      <c r="H15" s="12">
        <v>636</v>
      </c>
      <c r="I15" s="13">
        <v>0</v>
      </c>
      <c r="J15" s="13">
        <v>2.9950000000000001</v>
      </c>
      <c r="K15" s="12">
        <v>343</v>
      </c>
      <c r="L15" s="12">
        <v>700</v>
      </c>
      <c r="M15" s="13">
        <v>0</v>
      </c>
      <c r="N15" s="13">
        <v>7.5650000000000004</v>
      </c>
    </row>
    <row r="16" spans="1:14" ht="24.75" customHeight="1" x14ac:dyDescent="0.25">
      <c r="A16" s="10">
        <v>2</v>
      </c>
      <c r="B16" s="11" t="s">
        <v>5</v>
      </c>
      <c r="C16" s="12">
        <v>5712</v>
      </c>
      <c r="D16" s="12">
        <v>5386</v>
      </c>
      <c r="E16" s="13">
        <v>29.684999999999999</v>
      </c>
      <c r="F16" s="13">
        <v>176.72</v>
      </c>
      <c r="G16" s="12">
        <v>6115</v>
      </c>
      <c r="H16" s="12">
        <v>5799</v>
      </c>
      <c r="I16" s="13">
        <v>34.179000000000002</v>
      </c>
      <c r="J16" s="13">
        <v>264.87299999999999</v>
      </c>
      <c r="K16" s="12">
        <v>6107</v>
      </c>
      <c r="L16" s="12">
        <v>7601</v>
      </c>
      <c r="M16" s="13">
        <v>51.325000000000003</v>
      </c>
      <c r="N16" s="13">
        <v>346.75299999999999</v>
      </c>
    </row>
    <row r="17" spans="1:15" ht="31.5" customHeight="1" x14ac:dyDescent="0.25">
      <c r="A17" s="10">
        <v>3</v>
      </c>
      <c r="B17" s="14" t="s">
        <v>6</v>
      </c>
      <c r="C17" s="12">
        <v>0</v>
      </c>
      <c r="D17" s="12">
        <v>0</v>
      </c>
      <c r="E17" s="15">
        <v>7943.6880000000001</v>
      </c>
      <c r="F17" s="15">
        <v>7704.7629999999999</v>
      </c>
      <c r="G17" s="12">
        <v>0</v>
      </c>
      <c r="H17" s="12">
        <v>0</v>
      </c>
      <c r="I17" s="13">
        <v>8352.6859999999997</v>
      </c>
      <c r="J17" s="13">
        <v>8055.7860000000001</v>
      </c>
      <c r="K17" s="12">
        <v>0</v>
      </c>
      <c r="L17" s="12">
        <v>0</v>
      </c>
      <c r="M17" s="13">
        <v>7199.05</v>
      </c>
      <c r="N17" s="13">
        <v>6806.1350000000002</v>
      </c>
    </row>
    <row r="18" spans="1:15" ht="31.5" customHeight="1" x14ac:dyDescent="0.25">
      <c r="A18" s="10">
        <v>4</v>
      </c>
      <c r="B18" s="11" t="s">
        <v>7</v>
      </c>
      <c r="C18" s="12">
        <v>77374</v>
      </c>
      <c r="D18" s="12">
        <v>78636</v>
      </c>
      <c r="E18" s="13">
        <v>332.262</v>
      </c>
      <c r="F18" s="13">
        <v>640.21299999999997</v>
      </c>
      <c r="G18" s="12">
        <v>67217</v>
      </c>
      <c r="H18" s="12">
        <v>71095</v>
      </c>
      <c r="I18" s="13">
        <v>40.598999999999997</v>
      </c>
      <c r="J18" s="13">
        <v>872.39200000000005</v>
      </c>
      <c r="K18" s="16">
        <v>70987</v>
      </c>
      <c r="L18" s="16">
        <v>78410</v>
      </c>
      <c r="M18" s="15">
        <v>111.76300000000001</v>
      </c>
      <c r="N18" s="15">
        <v>1003.08</v>
      </c>
    </row>
    <row r="19" spans="1:15" ht="31.5" customHeight="1" x14ac:dyDescent="0.25">
      <c r="A19" s="10">
        <v>5</v>
      </c>
      <c r="B19" s="11" t="s">
        <v>71</v>
      </c>
      <c r="C19" s="12">
        <v>33538</v>
      </c>
      <c r="D19" s="12">
        <v>35095</v>
      </c>
      <c r="E19" s="13">
        <v>6.9470000000000001</v>
      </c>
      <c r="F19" s="13">
        <v>209.57599999999999</v>
      </c>
      <c r="G19" s="12">
        <v>22796</v>
      </c>
      <c r="H19" s="12">
        <v>31228</v>
      </c>
      <c r="I19" s="13">
        <v>3.5619999999999998</v>
      </c>
      <c r="J19" s="13">
        <v>194.68899999999999</v>
      </c>
      <c r="K19" s="12">
        <v>23990</v>
      </c>
      <c r="L19" s="12">
        <v>31481</v>
      </c>
      <c r="M19" s="13">
        <v>35.725999999999999</v>
      </c>
      <c r="N19" s="13">
        <v>203.62200000000001</v>
      </c>
      <c r="O19" s="7"/>
    </row>
    <row r="20" spans="1:15" ht="31.5" customHeight="1" x14ac:dyDescent="0.25">
      <c r="A20" s="10">
        <v>6</v>
      </c>
      <c r="B20" s="11" t="s">
        <v>63</v>
      </c>
      <c r="C20" s="12">
        <v>35852</v>
      </c>
      <c r="D20" s="12">
        <v>40478</v>
      </c>
      <c r="E20" s="13">
        <v>30.638000000000002</v>
      </c>
      <c r="F20" s="13">
        <v>249.874</v>
      </c>
      <c r="G20" s="12">
        <v>30400</v>
      </c>
      <c r="H20" s="12">
        <v>34811</v>
      </c>
      <c r="I20" s="13">
        <v>60.813000000000002</v>
      </c>
      <c r="J20" s="13">
        <v>218.67</v>
      </c>
      <c r="K20" s="12">
        <v>30998</v>
      </c>
      <c r="L20" s="12">
        <v>38494</v>
      </c>
      <c r="M20" s="13">
        <v>40.459499999999998</v>
      </c>
      <c r="N20" s="13">
        <v>347.64100000000002</v>
      </c>
    </row>
    <row r="21" spans="1:15" ht="31.5" customHeight="1" x14ac:dyDescent="0.25">
      <c r="A21" s="10">
        <v>7</v>
      </c>
      <c r="B21" s="11" t="s">
        <v>47</v>
      </c>
      <c r="C21" s="16">
        <v>5251</v>
      </c>
      <c r="D21" s="16">
        <v>5517</v>
      </c>
      <c r="E21" s="13">
        <v>97.947000000000003</v>
      </c>
      <c r="F21" s="13">
        <v>212.65199999999999</v>
      </c>
      <c r="G21" s="12">
        <v>4879</v>
      </c>
      <c r="H21" s="12">
        <v>5774</v>
      </c>
      <c r="I21" s="13">
        <v>74.424999999999997</v>
      </c>
      <c r="J21" s="13">
        <v>245.80699999999999</v>
      </c>
      <c r="K21" s="12">
        <v>4681</v>
      </c>
      <c r="L21" s="12">
        <v>5940</v>
      </c>
      <c r="M21" s="13">
        <v>212.82</v>
      </c>
      <c r="N21" s="13">
        <v>282.80599999999998</v>
      </c>
    </row>
    <row r="22" spans="1:15" s="8" customFormat="1" ht="27.95" customHeight="1" x14ac:dyDescent="0.25">
      <c r="A22" s="10">
        <v>8</v>
      </c>
      <c r="B22" s="17" t="s">
        <v>91</v>
      </c>
      <c r="C22" s="16">
        <v>4338</v>
      </c>
      <c r="D22" s="16">
        <v>4892</v>
      </c>
      <c r="E22" s="13">
        <v>4.3959999999999999</v>
      </c>
      <c r="F22" s="13">
        <v>54.12</v>
      </c>
      <c r="G22" s="12">
        <v>3069</v>
      </c>
      <c r="H22" s="12">
        <v>3475</v>
      </c>
      <c r="I22" s="13">
        <v>8.199999999999999E-3</v>
      </c>
      <c r="J22" s="13">
        <v>38.552</v>
      </c>
      <c r="K22" s="12">
        <v>3585</v>
      </c>
      <c r="L22" s="12">
        <v>4774</v>
      </c>
      <c r="M22" s="13">
        <v>0.48899999999999999</v>
      </c>
      <c r="N22" s="13">
        <v>44.488999999999997</v>
      </c>
    </row>
    <row r="23" spans="1:15" s="8" customFormat="1" ht="27.95" customHeight="1" x14ac:dyDescent="0.25">
      <c r="A23" s="10">
        <v>9</v>
      </c>
      <c r="B23" s="14" t="s">
        <v>80</v>
      </c>
      <c r="C23" s="12">
        <v>676</v>
      </c>
      <c r="D23" s="12">
        <v>784</v>
      </c>
      <c r="E23" s="13">
        <v>0.26200000000000001</v>
      </c>
      <c r="F23" s="13">
        <v>2.202</v>
      </c>
      <c r="G23" s="16">
        <v>486</v>
      </c>
      <c r="H23" s="16">
        <v>487</v>
      </c>
      <c r="I23" s="15">
        <v>0.64800000000000002</v>
      </c>
      <c r="J23" s="15">
        <v>1.105</v>
      </c>
      <c r="K23" s="16">
        <v>567</v>
      </c>
      <c r="L23" s="16">
        <v>614</v>
      </c>
      <c r="M23" s="15">
        <v>4.9000000000000002E-2</v>
      </c>
      <c r="N23" s="15">
        <v>2.0539999999999998</v>
      </c>
    </row>
    <row r="24" spans="1:15" s="8" customFormat="1" ht="27.95" customHeight="1" x14ac:dyDescent="0.25">
      <c r="A24" s="10">
        <v>10</v>
      </c>
      <c r="B24" s="11" t="s">
        <v>42</v>
      </c>
      <c r="C24" s="12">
        <v>12869</v>
      </c>
      <c r="D24" s="12">
        <v>10431</v>
      </c>
      <c r="E24" s="13">
        <v>185.90700000000001</v>
      </c>
      <c r="F24" s="13">
        <v>232.648</v>
      </c>
      <c r="G24" s="12">
        <v>11368</v>
      </c>
      <c r="H24" s="12">
        <v>10912</v>
      </c>
      <c r="I24" s="13">
        <v>136.74100000000001</v>
      </c>
      <c r="J24" s="13">
        <v>156.65600000000001</v>
      </c>
      <c r="K24" s="12">
        <v>11222</v>
      </c>
      <c r="L24" s="12">
        <v>13391</v>
      </c>
      <c r="M24" s="13">
        <v>174.38800000000001</v>
      </c>
      <c r="N24" s="13">
        <v>215.589</v>
      </c>
    </row>
    <row r="25" spans="1:15" s="8" customFormat="1" ht="27.75" customHeight="1" x14ac:dyDescent="0.25">
      <c r="A25" s="10">
        <v>11</v>
      </c>
      <c r="B25" s="11" t="s">
        <v>43</v>
      </c>
      <c r="C25" s="12">
        <v>28939</v>
      </c>
      <c r="D25" s="12">
        <v>31613</v>
      </c>
      <c r="E25" s="13">
        <v>1085.162</v>
      </c>
      <c r="F25" s="13">
        <v>1314.6420000000001</v>
      </c>
      <c r="G25" s="12">
        <v>24368</v>
      </c>
      <c r="H25" s="12">
        <v>27712</v>
      </c>
      <c r="I25" s="13">
        <v>814.53700000000003</v>
      </c>
      <c r="J25" s="13">
        <v>1046.3530000000001</v>
      </c>
      <c r="K25" s="12">
        <v>19276</v>
      </c>
      <c r="L25" s="12">
        <v>28724</v>
      </c>
      <c r="M25" s="13">
        <v>787.72199999999998</v>
      </c>
      <c r="N25" s="13">
        <v>1265.617</v>
      </c>
    </row>
    <row r="26" spans="1:15" s="8" customFormat="1" ht="27.75" customHeight="1" x14ac:dyDescent="0.25">
      <c r="A26" s="10">
        <v>12</v>
      </c>
      <c r="B26" s="11" t="s">
        <v>48</v>
      </c>
      <c r="C26" s="12">
        <v>5553</v>
      </c>
      <c r="D26" s="12">
        <v>6413</v>
      </c>
      <c r="E26" s="13">
        <v>10.518000000000001</v>
      </c>
      <c r="F26" s="13">
        <v>295.50400000000002</v>
      </c>
      <c r="G26" s="12">
        <v>5120</v>
      </c>
      <c r="H26" s="12">
        <v>5390</v>
      </c>
      <c r="I26" s="13">
        <v>30.94</v>
      </c>
      <c r="J26" s="13">
        <v>355.327</v>
      </c>
      <c r="K26" s="12">
        <v>5341</v>
      </c>
      <c r="L26" s="12">
        <v>6196</v>
      </c>
      <c r="M26" s="13">
        <v>22.815000000000001</v>
      </c>
      <c r="N26" s="13">
        <v>356.88299999999998</v>
      </c>
    </row>
    <row r="27" spans="1:15" s="8" customFormat="1" ht="27.75" customHeight="1" x14ac:dyDescent="0.25">
      <c r="A27" s="10">
        <v>13</v>
      </c>
      <c r="B27" s="17" t="s">
        <v>56</v>
      </c>
      <c r="C27" s="16">
        <v>327</v>
      </c>
      <c r="D27" s="16">
        <v>616</v>
      </c>
      <c r="E27" s="13">
        <v>1.3979999999999999</v>
      </c>
      <c r="F27" s="13">
        <v>1.3129999999999999</v>
      </c>
      <c r="G27" s="12">
        <v>383</v>
      </c>
      <c r="H27" s="12">
        <v>552</v>
      </c>
      <c r="I27" s="13">
        <v>0.67700000000000005</v>
      </c>
      <c r="J27" s="13">
        <v>0.63</v>
      </c>
      <c r="K27" s="12">
        <v>378</v>
      </c>
      <c r="L27" s="12">
        <v>614</v>
      </c>
      <c r="M27" s="13">
        <v>0.16200000000000001</v>
      </c>
      <c r="N27" s="13">
        <v>0.82699999999999996</v>
      </c>
    </row>
    <row r="28" spans="1:15" s="8" customFormat="1" ht="27.75" customHeight="1" x14ac:dyDescent="0.25">
      <c r="A28" s="10">
        <v>14</v>
      </c>
      <c r="B28" s="11" t="s">
        <v>72</v>
      </c>
      <c r="C28" s="12">
        <v>2878</v>
      </c>
      <c r="D28" s="12">
        <v>3779</v>
      </c>
      <c r="E28" s="13">
        <v>11.575299999999999</v>
      </c>
      <c r="F28" s="13">
        <v>94.412000000000006</v>
      </c>
      <c r="G28" s="12">
        <v>2382</v>
      </c>
      <c r="H28" s="12">
        <v>2873</v>
      </c>
      <c r="I28" s="13">
        <v>68.778300000000002</v>
      </c>
      <c r="J28" s="13">
        <v>54.793399999999998</v>
      </c>
      <c r="K28" s="12">
        <v>2243</v>
      </c>
      <c r="L28" s="12">
        <v>2677</v>
      </c>
      <c r="M28" s="13">
        <v>68.840999999999994</v>
      </c>
      <c r="N28" s="13">
        <v>134.95099999999999</v>
      </c>
    </row>
    <row r="29" spans="1:15" s="8" customFormat="1" ht="27.75" customHeight="1" x14ac:dyDescent="0.25">
      <c r="A29" s="10">
        <v>15</v>
      </c>
      <c r="B29" s="11" t="s">
        <v>46</v>
      </c>
      <c r="C29" s="12">
        <v>2431</v>
      </c>
      <c r="D29" s="12">
        <v>4213</v>
      </c>
      <c r="E29" s="13">
        <v>244.86199999999999</v>
      </c>
      <c r="F29" s="13">
        <v>320.15899999999999</v>
      </c>
      <c r="G29" s="12">
        <v>2628</v>
      </c>
      <c r="H29" s="12">
        <v>4666</v>
      </c>
      <c r="I29" s="13">
        <v>186.92500000000001</v>
      </c>
      <c r="J29" s="13">
        <v>426.65300000000002</v>
      </c>
      <c r="K29" s="12">
        <v>2857</v>
      </c>
      <c r="L29" s="12">
        <v>5803</v>
      </c>
      <c r="M29" s="13">
        <v>263.52199999999999</v>
      </c>
      <c r="N29" s="13">
        <v>486.98500000000001</v>
      </c>
    </row>
    <row r="30" spans="1:15" s="8" customFormat="1" ht="27.75" customHeight="1" x14ac:dyDescent="0.25">
      <c r="A30" s="10">
        <v>16</v>
      </c>
      <c r="B30" s="11" t="s">
        <v>73</v>
      </c>
      <c r="C30" s="12">
        <v>7050</v>
      </c>
      <c r="D30" s="12">
        <v>6321</v>
      </c>
      <c r="E30" s="13">
        <v>121.8516</v>
      </c>
      <c r="F30" s="13">
        <v>190.2028</v>
      </c>
      <c r="G30" s="12">
        <v>6921</v>
      </c>
      <c r="H30" s="12">
        <v>5451</v>
      </c>
      <c r="I30" s="13">
        <v>81.8249</v>
      </c>
      <c r="J30" s="13">
        <v>86.801699999999997</v>
      </c>
      <c r="K30" s="12">
        <v>6290</v>
      </c>
      <c r="L30" s="12">
        <v>7382</v>
      </c>
      <c r="M30" s="13">
        <v>88.096299999999999</v>
      </c>
      <c r="N30" s="13">
        <v>121.0056</v>
      </c>
    </row>
    <row r="31" spans="1:15" s="8" customFormat="1" ht="27.75" customHeight="1" x14ac:dyDescent="0.25">
      <c r="A31" s="10">
        <v>17</v>
      </c>
      <c r="B31" s="11" t="s">
        <v>74</v>
      </c>
      <c r="C31" s="12">
        <v>3</v>
      </c>
      <c r="D31" s="12">
        <v>0</v>
      </c>
      <c r="E31" s="13">
        <v>3.57</v>
      </c>
      <c r="F31" s="13">
        <v>27.768000000000001</v>
      </c>
      <c r="G31" s="12">
        <v>1</v>
      </c>
      <c r="H31" s="12">
        <v>0</v>
      </c>
      <c r="I31" s="13">
        <v>14.065</v>
      </c>
      <c r="J31" s="13">
        <v>19.196999999999999</v>
      </c>
      <c r="K31" s="12">
        <v>0</v>
      </c>
      <c r="L31" s="12">
        <v>0</v>
      </c>
      <c r="M31" s="13">
        <v>14.728999999999999</v>
      </c>
      <c r="N31" s="13">
        <v>75.707999999999998</v>
      </c>
    </row>
    <row r="32" spans="1:15" s="8" customFormat="1" ht="27.75" customHeight="1" x14ac:dyDescent="0.25">
      <c r="A32" s="10">
        <v>18</v>
      </c>
      <c r="B32" s="11" t="s">
        <v>86</v>
      </c>
      <c r="C32" s="12">
        <v>559</v>
      </c>
      <c r="D32" s="12">
        <v>653</v>
      </c>
      <c r="E32" s="13">
        <v>0</v>
      </c>
      <c r="F32" s="13">
        <v>0</v>
      </c>
      <c r="G32" s="12">
        <v>43</v>
      </c>
      <c r="H32" s="12">
        <v>146</v>
      </c>
      <c r="I32" s="13">
        <v>0</v>
      </c>
      <c r="J32" s="13">
        <v>0</v>
      </c>
      <c r="K32" s="12"/>
      <c r="L32" s="12"/>
      <c r="M32" s="13">
        <v>0</v>
      </c>
      <c r="N32" s="13">
        <v>0</v>
      </c>
    </row>
    <row r="33" spans="1:14" s="8" customFormat="1" ht="27.75" customHeight="1" x14ac:dyDescent="0.25">
      <c r="A33" s="10">
        <v>19</v>
      </c>
      <c r="B33" s="11" t="s">
        <v>90</v>
      </c>
      <c r="C33" s="12">
        <v>267</v>
      </c>
      <c r="D33" s="12">
        <v>157</v>
      </c>
      <c r="E33" s="13">
        <v>0</v>
      </c>
      <c r="F33" s="13">
        <v>0</v>
      </c>
      <c r="G33" s="12">
        <v>361</v>
      </c>
      <c r="H33" s="12">
        <v>416</v>
      </c>
      <c r="I33" s="13">
        <v>0</v>
      </c>
      <c r="J33" s="13">
        <v>0</v>
      </c>
      <c r="K33" s="12">
        <v>556</v>
      </c>
      <c r="L33" s="12">
        <v>533</v>
      </c>
      <c r="M33" s="15">
        <v>0</v>
      </c>
      <c r="N33" s="15">
        <v>0</v>
      </c>
    </row>
    <row r="34" spans="1:14" s="8" customFormat="1" ht="27.75" customHeight="1" x14ac:dyDescent="0.25">
      <c r="A34" s="10">
        <v>20</v>
      </c>
      <c r="B34" s="11" t="s">
        <v>8</v>
      </c>
      <c r="C34" s="12">
        <v>10404</v>
      </c>
      <c r="D34" s="12">
        <v>11271</v>
      </c>
      <c r="E34" s="13">
        <v>1.6E-2</v>
      </c>
      <c r="F34" s="13">
        <v>88.953999999999994</v>
      </c>
      <c r="G34" s="12">
        <v>9985</v>
      </c>
      <c r="H34" s="12">
        <v>10094</v>
      </c>
      <c r="I34" s="13">
        <v>4.9139999999999997</v>
      </c>
      <c r="J34" s="13">
        <v>103.444</v>
      </c>
      <c r="K34" s="12">
        <v>10163</v>
      </c>
      <c r="L34" s="12">
        <v>11288</v>
      </c>
      <c r="M34" s="13">
        <v>2.7639999999999998</v>
      </c>
      <c r="N34" s="13">
        <v>116.44199999999999</v>
      </c>
    </row>
    <row r="35" spans="1:14" s="8" customFormat="1" ht="27.75" customHeight="1" x14ac:dyDescent="0.25">
      <c r="A35" s="10">
        <v>21</v>
      </c>
      <c r="B35" s="11" t="s">
        <v>81</v>
      </c>
      <c r="C35" s="12">
        <v>52184</v>
      </c>
      <c r="D35" s="12">
        <v>56581</v>
      </c>
      <c r="E35" s="13">
        <v>1573.62</v>
      </c>
      <c r="F35" s="13">
        <v>3282.06</v>
      </c>
      <c r="G35" s="16">
        <v>8607</v>
      </c>
      <c r="H35" s="16">
        <v>13337</v>
      </c>
      <c r="I35" s="13">
        <v>386.72</v>
      </c>
      <c r="J35" s="13">
        <v>813.55</v>
      </c>
      <c r="K35" s="12">
        <v>39731</v>
      </c>
      <c r="L35" s="12">
        <v>55542</v>
      </c>
      <c r="M35" s="13">
        <v>1853.36</v>
      </c>
      <c r="N35" s="13">
        <v>3492.83</v>
      </c>
    </row>
    <row r="36" spans="1:14" s="8" customFormat="1" ht="27.75" customHeight="1" x14ac:dyDescent="0.25">
      <c r="A36" s="10">
        <v>22</v>
      </c>
      <c r="B36" s="11" t="s">
        <v>82</v>
      </c>
      <c r="C36" s="12">
        <v>429</v>
      </c>
      <c r="D36" s="12">
        <v>435</v>
      </c>
      <c r="E36" s="13">
        <v>0</v>
      </c>
      <c r="F36" s="13">
        <v>0</v>
      </c>
      <c r="G36" s="16">
        <v>420</v>
      </c>
      <c r="H36" s="16">
        <v>415</v>
      </c>
      <c r="I36" s="13">
        <v>0</v>
      </c>
      <c r="J36" s="13">
        <v>0</v>
      </c>
      <c r="K36" s="12">
        <v>557</v>
      </c>
      <c r="L36" s="12">
        <v>516</v>
      </c>
      <c r="M36" s="13">
        <v>0</v>
      </c>
      <c r="N36" s="13">
        <v>0</v>
      </c>
    </row>
    <row r="37" spans="1:14" s="8" customFormat="1" ht="27.75" customHeight="1" x14ac:dyDescent="0.25">
      <c r="A37" s="10">
        <v>23</v>
      </c>
      <c r="B37" s="14" t="s">
        <v>9</v>
      </c>
      <c r="C37" s="12">
        <v>12596</v>
      </c>
      <c r="D37" s="12">
        <v>13319</v>
      </c>
      <c r="E37" s="13">
        <v>6168.0710999999992</v>
      </c>
      <c r="F37" s="13">
        <v>1917.5317999999997</v>
      </c>
      <c r="G37" s="12">
        <v>4226</v>
      </c>
      <c r="H37" s="12">
        <v>10403</v>
      </c>
      <c r="I37" s="13">
        <v>5471.9756000000007</v>
      </c>
      <c r="J37" s="13">
        <v>2776.5054</v>
      </c>
      <c r="K37" s="12">
        <v>13931</v>
      </c>
      <c r="L37" s="12">
        <v>23000</v>
      </c>
      <c r="M37" s="13">
        <v>7442.1549000000014</v>
      </c>
      <c r="N37" s="13">
        <v>3489.4628499999999</v>
      </c>
    </row>
    <row r="38" spans="1:14" s="8" customFormat="1" ht="27.95" customHeight="1" x14ac:dyDescent="0.25">
      <c r="A38" s="10">
        <v>24</v>
      </c>
      <c r="B38" s="11" t="s">
        <v>64</v>
      </c>
      <c r="C38" s="12">
        <v>0</v>
      </c>
      <c r="D38" s="12">
        <v>0</v>
      </c>
      <c r="E38" s="13">
        <v>175.39599999999999</v>
      </c>
      <c r="F38" s="13">
        <v>188.45500000000001</v>
      </c>
      <c r="G38" s="12">
        <v>0</v>
      </c>
      <c r="H38" s="12">
        <v>0</v>
      </c>
      <c r="I38" s="13">
        <v>206.07499999999999</v>
      </c>
      <c r="J38" s="13">
        <v>204.048</v>
      </c>
      <c r="K38" s="12">
        <v>0</v>
      </c>
      <c r="L38" s="12">
        <v>0</v>
      </c>
      <c r="M38" s="13">
        <v>202.74</v>
      </c>
      <c r="N38" s="13">
        <v>246.983</v>
      </c>
    </row>
    <row r="39" spans="1:14" s="8" customFormat="1" ht="27.95" customHeight="1" x14ac:dyDescent="0.25">
      <c r="A39" s="10">
        <v>25</v>
      </c>
      <c r="B39" s="11" t="s">
        <v>10</v>
      </c>
      <c r="C39" s="12">
        <v>3331</v>
      </c>
      <c r="D39" s="12">
        <v>2422</v>
      </c>
      <c r="E39" s="13">
        <v>0.48799999999999999</v>
      </c>
      <c r="F39" s="13">
        <v>4.5789999999999997</v>
      </c>
      <c r="G39" s="12">
        <v>2356</v>
      </c>
      <c r="H39" s="12">
        <v>2733</v>
      </c>
      <c r="I39" s="13">
        <v>1.03</v>
      </c>
      <c r="J39" s="13">
        <v>2.9580000000000002</v>
      </c>
      <c r="K39" s="12">
        <v>2731</v>
      </c>
      <c r="L39" s="12">
        <v>2755</v>
      </c>
      <c r="M39" s="13">
        <v>0.48049999999999998</v>
      </c>
      <c r="N39" s="13">
        <v>3.6529000000000003</v>
      </c>
    </row>
    <row r="40" spans="1:14" s="8" customFormat="1" ht="27.95" customHeight="1" x14ac:dyDescent="0.25">
      <c r="A40" s="10">
        <v>26</v>
      </c>
      <c r="B40" s="17" t="s">
        <v>58</v>
      </c>
      <c r="C40" s="12">
        <v>4342</v>
      </c>
      <c r="D40" s="12">
        <v>5770</v>
      </c>
      <c r="E40" s="13">
        <v>107.955</v>
      </c>
      <c r="F40" s="13">
        <v>140.953</v>
      </c>
      <c r="G40" s="16">
        <v>2545</v>
      </c>
      <c r="H40" s="16">
        <v>3594</v>
      </c>
      <c r="I40" s="13">
        <v>60.095999999999997</v>
      </c>
      <c r="J40" s="13">
        <v>82.007000000000005</v>
      </c>
      <c r="K40" s="12">
        <v>2189</v>
      </c>
      <c r="L40" s="12">
        <v>3369</v>
      </c>
      <c r="M40" s="13">
        <v>168.465</v>
      </c>
      <c r="N40" s="13">
        <v>303.56700000000001</v>
      </c>
    </row>
    <row r="41" spans="1:14" s="8" customFormat="1" ht="27.95" customHeight="1" x14ac:dyDescent="0.25">
      <c r="A41" s="10">
        <v>27</v>
      </c>
      <c r="B41" s="14" t="s">
        <v>37</v>
      </c>
      <c r="C41" s="12">
        <v>244552</v>
      </c>
      <c r="D41" s="12">
        <v>254173</v>
      </c>
      <c r="E41" s="13">
        <v>4329.4155620000001</v>
      </c>
      <c r="F41" s="13">
        <v>8045.1685950000001</v>
      </c>
      <c r="G41" s="12">
        <v>205982</v>
      </c>
      <c r="H41" s="12">
        <v>234725</v>
      </c>
      <c r="I41" s="13">
        <v>4901.3375070000002</v>
      </c>
      <c r="J41" s="13">
        <v>7802.8122100000001</v>
      </c>
      <c r="K41" s="12">
        <v>202973</v>
      </c>
      <c r="L41" s="12">
        <v>255490</v>
      </c>
      <c r="M41" s="13">
        <v>5865.4595220000001</v>
      </c>
      <c r="N41" s="13">
        <v>9863.7157890000017</v>
      </c>
    </row>
    <row r="42" spans="1:14" s="8" customFormat="1" ht="27.95" customHeight="1" x14ac:dyDescent="0.25">
      <c r="A42" s="10">
        <v>28</v>
      </c>
      <c r="B42" s="11" t="s">
        <v>38</v>
      </c>
      <c r="C42" s="12">
        <v>18898</v>
      </c>
      <c r="D42" s="12">
        <v>25863</v>
      </c>
      <c r="E42" s="13">
        <v>172.26400000000001</v>
      </c>
      <c r="F42" s="13">
        <v>884.83600000000001</v>
      </c>
      <c r="G42" s="12">
        <v>15769</v>
      </c>
      <c r="H42" s="12">
        <v>19007</v>
      </c>
      <c r="I42" s="13">
        <v>144.82900000000001</v>
      </c>
      <c r="J42" s="13">
        <v>868.27200000000005</v>
      </c>
      <c r="K42" s="12">
        <v>16545</v>
      </c>
      <c r="L42" s="12">
        <v>22762</v>
      </c>
      <c r="M42" s="13">
        <v>243.124</v>
      </c>
      <c r="N42" s="13">
        <v>876.52</v>
      </c>
    </row>
    <row r="43" spans="1:14" s="8" customFormat="1" ht="27.95" customHeight="1" x14ac:dyDescent="0.25">
      <c r="A43" s="10">
        <v>29</v>
      </c>
      <c r="B43" s="11" t="s">
        <v>92</v>
      </c>
      <c r="C43" s="12">
        <v>67568</v>
      </c>
      <c r="D43" s="12">
        <v>68995</v>
      </c>
      <c r="E43" s="13">
        <v>801.12950000000001</v>
      </c>
      <c r="F43" s="13">
        <v>2154.5700000000002</v>
      </c>
      <c r="G43" s="12">
        <v>56035</v>
      </c>
      <c r="H43" s="12">
        <v>61694</v>
      </c>
      <c r="I43" s="13">
        <v>903.87400000000002</v>
      </c>
      <c r="J43" s="13">
        <v>1810.6849999999999</v>
      </c>
      <c r="K43" s="12">
        <v>56608</v>
      </c>
      <c r="L43" s="12">
        <v>64533</v>
      </c>
      <c r="M43" s="13">
        <v>1105.9223999999999</v>
      </c>
      <c r="N43" s="13">
        <v>2272.6819999999998</v>
      </c>
    </row>
    <row r="44" spans="1:14" s="8" customFormat="1" ht="27.95" customHeight="1" x14ac:dyDescent="0.25">
      <c r="A44" s="10">
        <v>30</v>
      </c>
      <c r="B44" s="11" t="s">
        <v>11</v>
      </c>
      <c r="C44" s="12">
        <v>0</v>
      </c>
      <c r="D44" s="12">
        <v>0</v>
      </c>
      <c r="E44" s="13">
        <v>1268.1010000000001</v>
      </c>
      <c r="F44" s="13">
        <v>2743.9520000000002</v>
      </c>
      <c r="G44" s="12">
        <v>0</v>
      </c>
      <c r="H44" s="12">
        <v>0</v>
      </c>
      <c r="I44" s="13">
        <v>1053.98</v>
      </c>
      <c r="J44" s="13">
        <v>2313.9989999999998</v>
      </c>
      <c r="K44" s="12">
        <v>0</v>
      </c>
      <c r="L44" s="12">
        <v>0</v>
      </c>
      <c r="M44" s="15">
        <v>1344.808</v>
      </c>
      <c r="N44" s="15">
        <v>2916.2089999999998</v>
      </c>
    </row>
    <row r="45" spans="1:14" s="8" customFormat="1" ht="27.95" customHeight="1" x14ac:dyDescent="0.25">
      <c r="A45" s="10">
        <v>31</v>
      </c>
      <c r="B45" s="11" t="s">
        <v>65</v>
      </c>
      <c r="C45" s="12">
        <v>7724</v>
      </c>
      <c r="D45" s="12">
        <v>8652</v>
      </c>
      <c r="E45" s="13">
        <v>220.39400000000001</v>
      </c>
      <c r="F45" s="13">
        <v>238.36</v>
      </c>
      <c r="G45" s="12">
        <v>7095</v>
      </c>
      <c r="H45" s="12">
        <v>7333</v>
      </c>
      <c r="I45" s="13">
        <v>193.45500000000001</v>
      </c>
      <c r="J45" s="13">
        <v>268.77699999999999</v>
      </c>
      <c r="K45" s="12">
        <v>4994</v>
      </c>
      <c r="L45" s="12">
        <v>8329</v>
      </c>
      <c r="M45" s="15">
        <v>213.9</v>
      </c>
      <c r="N45" s="15">
        <v>367.01799999999997</v>
      </c>
    </row>
    <row r="46" spans="1:14" s="8" customFormat="1" ht="27.95" customHeight="1" x14ac:dyDescent="0.25">
      <c r="A46" s="10">
        <v>32</v>
      </c>
      <c r="B46" s="11" t="s">
        <v>52</v>
      </c>
      <c r="C46" s="12">
        <v>21189</v>
      </c>
      <c r="D46" s="12">
        <v>22168</v>
      </c>
      <c r="E46" s="13">
        <v>14.141</v>
      </c>
      <c r="F46" s="13">
        <v>144.983</v>
      </c>
      <c r="G46" s="12">
        <v>18054</v>
      </c>
      <c r="H46" s="12">
        <v>20168</v>
      </c>
      <c r="I46" s="13">
        <v>21.062000000000001</v>
      </c>
      <c r="J46" s="13">
        <v>148.34800000000001</v>
      </c>
      <c r="K46" s="12">
        <v>18226</v>
      </c>
      <c r="L46" s="12">
        <v>21783</v>
      </c>
      <c r="M46" s="15">
        <v>23.317</v>
      </c>
      <c r="N46" s="15">
        <v>153.61199999999999</v>
      </c>
    </row>
    <row r="47" spans="1:14" s="8" customFormat="1" ht="27.95" customHeight="1" x14ac:dyDescent="0.25">
      <c r="A47" s="10">
        <v>33</v>
      </c>
      <c r="B47" s="11" t="s">
        <v>66</v>
      </c>
      <c r="C47" s="12">
        <v>15457</v>
      </c>
      <c r="D47" s="12">
        <v>21720</v>
      </c>
      <c r="E47" s="13">
        <v>24.141999999999999</v>
      </c>
      <c r="F47" s="13">
        <v>145.125</v>
      </c>
      <c r="G47" s="12">
        <v>14309</v>
      </c>
      <c r="H47" s="12">
        <v>18547</v>
      </c>
      <c r="I47" s="13">
        <v>35.621000000000002</v>
      </c>
      <c r="J47" s="13">
        <v>158.96600000000001</v>
      </c>
      <c r="K47" s="12">
        <v>14316</v>
      </c>
      <c r="L47" s="12">
        <v>23765</v>
      </c>
      <c r="M47" s="15">
        <v>39.723999999999997</v>
      </c>
      <c r="N47" s="15">
        <v>216.50899999999999</v>
      </c>
    </row>
    <row r="48" spans="1:14" s="8" customFormat="1" ht="27.95" customHeight="1" x14ac:dyDescent="0.25">
      <c r="A48" s="10">
        <v>34</v>
      </c>
      <c r="B48" s="11" t="s">
        <v>39</v>
      </c>
      <c r="C48" s="12">
        <v>43302</v>
      </c>
      <c r="D48" s="12">
        <v>51199</v>
      </c>
      <c r="E48" s="13">
        <v>24.486999999999998</v>
      </c>
      <c r="F48" s="13">
        <v>347.86500000000001</v>
      </c>
      <c r="G48" s="12">
        <v>35367</v>
      </c>
      <c r="H48" s="12">
        <v>45007</v>
      </c>
      <c r="I48" s="13">
        <v>31.459</v>
      </c>
      <c r="J48" s="13">
        <v>359.03699999999998</v>
      </c>
      <c r="K48" s="12">
        <v>37740</v>
      </c>
      <c r="L48" s="12">
        <v>50948</v>
      </c>
      <c r="M48" s="15">
        <v>61.893999999999998</v>
      </c>
      <c r="N48" s="15">
        <v>462.07299999999998</v>
      </c>
    </row>
    <row r="49" spans="1:14" s="8" customFormat="1" ht="27.95" customHeight="1" x14ac:dyDescent="0.25">
      <c r="A49" s="10">
        <v>35</v>
      </c>
      <c r="B49" s="11" t="s">
        <v>12</v>
      </c>
      <c r="C49" s="12">
        <v>1550</v>
      </c>
      <c r="D49" s="12">
        <v>1796</v>
      </c>
      <c r="E49" s="13">
        <v>0</v>
      </c>
      <c r="F49" s="13">
        <v>1.8</v>
      </c>
      <c r="G49" s="12">
        <v>1934</v>
      </c>
      <c r="H49" s="12">
        <v>1843</v>
      </c>
      <c r="I49" s="13">
        <v>0</v>
      </c>
      <c r="J49" s="13">
        <v>1.8</v>
      </c>
      <c r="K49" s="12">
        <v>1962</v>
      </c>
      <c r="L49" s="12">
        <v>1870</v>
      </c>
      <c r="M49" s="15">
        <v>0</v>
      </c>
      <c r="N49" s="15">
        <v>1.5</v>
      </c>
    </row>
    <row r="50" spans="1:14" s="8" customFormat="1" ht="27.95" customHeight="1" x14ac:dyDescent="0.25">
      <c r="A50" s="10">
        <v>36</v>
      </c>
      <c r="B50" s="11" t="s">
        <v>13</v>
      </c>
      <c r="C50" s="12">
        <v>3790</v>
      </c>
      <c r="D50" s="12">
        <v>4364</v>
      </c>
      <c r="E50" s="13">
        <v>0.192</v>
      </c>
      <c r="F50" s="13">
        <v>37.786999999999999</v>
      </c>
      <c r="G50" s="12">
        <v>3621</v>
      </c>
      <c r="H50" s="12">
        <v>3572</v>
      </c>
      <c r="I50" s="13">
        <v>0.47099999999999997</v>
      </c>
      <c r="J50" s="13">
        <v>40.427999999999997</v>
      </c>
      <c r="K50" s="12">
        <v>2745</v>
      </c>
      <c r="L50" s="12">
        <v>3708</v>
      </c>
      <c r="M50" s="15">
        <v>0.13</v>
      </c>
      <c r="N50" s="15">
        <v>70.518000000000001</v>
      </c>
    </row>
    <row r="51" spans="1:14" s="8" customFormat="1" ht="27.95" customHeight="1" x14ac:dyDescent="0.25">
      <c r="A51" s="10">
        <v>37</v>
      </c>
      <c r="B51" s="11" t="s">
        <v>14</v>
      </c>
      <c r="C51" s="12">
        <v>2942</v>
      </c>
      <c r="D51" s="12">
        <v>5425</v>
      </c>
      <c r="E51" s="13">
        <v>406.50400000000002</v>
      </c>
      <c r="F51" s="13">
        <v>251.352</v>
      </c>
      <c r="G51" s="12">
        <v>2778</v>
      </c>
      <c r="H51" s="12">
        <v>4733</v>
      </c>
      <c r="I51" s="13">
        <v>396.85</v>
      </c>
      <c r="J51" s="13">
        <v>369.65</v>
      </c>
      <c r="K51" s="12">
        <v>3047</v>
      </c>
      <c r="L51" s="12">
        <v>6038</v>
      </c>
      <c r="M51" s="15">
        <v>471.52199999999999</v>
      </c>
      <c r="N51" s="15">
        <v>316.839</v>
      </c>
    </row>
    <row r="52" spans="1:14" s="8" customFormat="1" ht="27.95" customHeight="1" x14ac:dyDescent="0.25">
      <c r="A52" s="10">
        <v>38</v>
      </c>
      <c r="B52" s="11" t="s">
        <v>57</v>
      </c>
      <c r="C52" s="12">
        <v>15464</v>
      </c>
      <c r="D52" s="12">
        <v>20418</v>
      </c>
      <c r="E52" s="13">
        <v>36.058999999999997</v>
      </c>
      <c r="F52" s="13">
        <v>208.518</v>
      </c>
      <c r="G52" s="12">
        <v>13363</v>
      </c>
      <c r="H52" s="12">
        <v>18575</v>
      </c>
      <c r="I52" s="13">
        <v>37.664000000000001</v>
      </c>
      <c r="J52" s="13">
        <v>244.02199999999999</v>
      </c>
      <c r="K52" s="12">
        <v>14336</v>
      </c>
      <c r="L52" s="12">
        <v>20081</v>
      </c>
      <c r="M52" s="15">
        <v>44.674399999999999</v>
      </c>
      <c r="N52" s="15">
        <v>266.5557</v>
      </c>
    </row>
    <row r="53" spans="1:14" s="8" customFormat="1" ht="27.95" customHeight="1" x14ac:dyDescent="0.25">
      <c r="A53" s="10">
        <v>39</v>
      </c>
      <c r="B53" s="11" t="s">
        <v>15</v>
      </c>
      <c r="C53" s="12">
        <v>800</v>
      </c>
      <c r="D53" s="12">
        <v>17997</v>
      </c>
      <c r="E53" s="13">
        <v>0.11700000000000001</v>
      </c>
      <c r="F53" s="13">
        <v>0.499</v>
      </c>
      <c r="G53" s="12">
        <v>6946</v>
      </c>
      <c r="H53" s="12">
        <v>7519</v>
      </c>
      <c r="I53" s="13">
        <v>0.72399999999999998</v>
      </c>
      <c r="J53" s="13">
        <v>16.344999999999999</v>
      </c>
      <c r="K53" s="12">
        <v>7158</v>
      </c>
      <c r="L53" s="12">
        <v>7901</v>
      </c>
      <c r="M53" s="15">
        <v>0.65800000000000003</v>
      </c>
      <c r="N53" s="15">
        <v>14.657999999999999</v>
      </c>
    </row>
    <row r="54" spans="1:14" s="8" customFormat="1" ht="27.95" customHeight="1" x14ac:dyDescent="0.25">
      <c r="A54" s="10">
        <v>40</v>
      </c>
      <c r="B54" s="11" t="s">
        <v>44</v>
      </c>
      <c r="C54" s="12">
        <v>24187</v>
      </c>
      <c r="D54" s="12">
        <v>24440</v>
      </c>
      <c r="E54" s="13">
        <v>725.66200000000003</v>
      </c>
      <c r="F54" s="13">
        <v>894.97500000000002</v>
      </c>
      <c r="G54" s="12">
        <v>20829</v>
      </c>
      <c r="H54" s="12">
        <v>23397</v>
      </c>
      <c r="I54" s="13">
        <v>776.77599999999995</v>
      </c>
      <c r="J54" s="13">
        <v>891.39800000000002</v>
      </c>
      <c r="K54" s="12">
        <v>17659</v>
      </c>
      <c r="L54" s="12">
        <v>26492</v>
      </c>
      <c r="M54" s="15">
        <v>849.82399999999996</v>
      </c>
      <c r="N54" s="15">
        <v>945.30700000000002</v>
      </c>
    </row>
    <row r="55" spans="1:14" s="8" customFormat="1" ht="27.95" customHeight="1" x14ac:dyDescent="0.25">
      <c r="A55" s="10">
        <v>41</v>
      </c>
      <c r="B55" s="11" t="s">
        <v>16</v>
      </c>
      <c r="C55" s="12">
        <v>2092</v>
      </c>
      <c r="D55" s="12">
        <v>3816</v>
      </c>
      <c r="E55" s="13">
        <v>319.87</v>
      </c>
      <c r="F55" s="13">
        <v>413.66699999999997</v>
      </c>
      <c r="G55" s="12">
        <v>1864</v>
      </c>
      <c r="H55" s="12">
        <v>4156</v>
      </c>
      <c r="I55" s="13">
        <v>368.50400000000002</v>
      </c>
      <c r="J55" s="13">
        <v>345.06099999999998</v>
      </c>
      <c r="K55" s="12">
        <v>1657</v>
      </c>
      <c r="L55" s="12">
        <v>3314</v>
      </c>
      <c r="M55" s="13">
        <v>417.60300000000001</v>
      </c>
      <c r="N55" s="13">
        <v>544.16399999999999</v>
      </c>
    </row>
    <row r="56" spans="1:14" s="8" customFormat="1" ht="27.95" customHeight="1" x14ac:dyDescent="0.25">
      <c r="A56" s="10">
        <v>42</v>
      </c>
      <c r="B56" s="11" t="s">
        <v>49</v>
      </c>
      <c r="C56" s="12">
        <v>17965</v>
      </c>
      <c r="D56" s="12">
        <v>22059</v>
      </c>
      <c r="E56" s="13">
        <v>0</v>
      </c>
      <c r="F56" s="13">
        <v>373.9</v>
      </c>
      <c r="G56" s="12">
        <v>16000</v>
      </c>
      <c r="H56" s="12">
        <v>21557</v>
      </c>
      <c r="I56" s="13">
        <v>0</v>
      </c>
      <c r="J56" s="13">
        <v>355.8</v>
      </c>
      <c r="K56" s="12">
        <v>13008</v>
      </c>
      <c r="L56" s="12">
        <v>23740</v>
      </c>
      <c r="M56" s="13">
        <v>0</v>
      </c>
      <c r="N56" s="13">
        <v>369.06700000000001</v>
      </c>
    </row>
    <row r="57" spans="1:14" s="8" customFormat="1" ht="27.95" customHeight="1" x14ac:dyDescent="0.25">
      <c r="A57" s="10">
        <v>43</v>
      </c>
      <c r="B57" s="11" t="s">
        <v>50</v>
      </c>
      <c r="C57" s="12">
        <v>4508</v>
      </c>
      <c r="D57" s="12">
        <v>5329</v>
      </c>
      <c r="E57" s="13">
        <v>86.468999999999994</v>
      </c>
      <c r="F57" s="13">
        <v>256.48700000000002</v>
      </c>
      <c r="G57" s="12">
        <v>5025</v>
      </c>
      <c r="H57" s="12">
        <v>5242</v>
      </c>
      <c r="I57" s="13">
        <v>100.125</v>
      </c>
      <c r="J57" s="13">
        <v>264.935</v>
      </c>
      <c r="K57" s="12">
        <v>3196</v>
      </c>
      <c r="L57" s="12">
        <v>5717</v>
      </c>
      <c r="M57" s="13">
        <v>118.995</v>
      </c>
      <c r="N57" s="13">
        <v>332.16399999999999</v>
      </c>
    </row>
    <row r="58" spans="1:14" s="8" customFormat="1" ht="27.95" customHeight="1" x14ac:dyDescent="0.25">
      <c r="A58" s="10">
        <v>44</v>
      </c>
      <c r="B58" s="11" t="s">
        <v>17</v>
      </c>
      <c r="C58" s="12">
        <v>41515</v>
      </c>
      <c r="D58" s="12">
        <v>46206</v>
      </c>
      <c r="E58" s="13">
        <v>1995.4349999999999</v>
      </c>
      <c r="F58" s="13">
        <v>1521.0630000000001</v>
      </c>
      <c r="G58" s="12">
        <v>35256</v>
      </c>
      <c r="H58" s="12">
        <v>39402</v>
      </c>
      <c r="I58" s="13">
        <v>2283.261</v>
      </c>
      <c r="J58" s="13">
        <v>1511.1990000000001</v>
      </c>
      <c r="K58" s="12">
        <v>33323</v>
      </c>
      <c r="L58" s="12">
        <v>47207</v>
      </c>
      <c r="M58" s="13">
        <v>2590.4839999999999</v>
      </c>
      <c r="N58" s="13">
        <v>1715.9359999999999</v>
      </c>
    </row>
    <row r="59" spans="1:14" s="8" customFormat="1" ht="27.95" customHeight="1" x14ac:dyDescent="0.25">
      <c r="A59" s="10">
        <v>45</v>
      </c>
      <c r="B59" s="11" t="s">
        <v>18</v>
      </c>
      <c r="C59" s="12">
        <v>1013</v>
      </c>
      <c r="D59" s="12">
        <v>1072</v>
      </c>
      <c r="E59" s="13">
        <v>6.0910000000000002</v>
      </c>
      <c r="F59" s="13">
        <v>39.229999999999997</v>
      </c>
      <c r="G59" s="12">
        <v>1387</v>
      </c>
      <c r="H59" s="12">
        <v>1178</v>
      </c>
      <c r="I59" s="13">
        <v>4.88</v>
      </c>
      <c r="J59" s="13">
        <v>34.931599999999996</v>
      </c>
      <c r="K59" s="12">
        <v>1620</v>
      </c>
      <c r="L59" s="12">
        <v>1078</v>
      </c>
      <c r="M59" s="13">
        <v>6.7649999999999997</v>
      </c>
      <c r="N59" s="13">
        <v>46.068599999999996</v>
      </c>
    </row>
    <row r="60" spans="1:14" s="8" customFormat="1" ht="27.95" customHeight="1" x14ac:dyDescent="0.25">
      <c r="A60" s="10">
        <v>46</v>
      </c>
      <c r="B60" s="11" t="s">
        <v>19</v>
      </c>
      <c r="C60" s="12">
        <v>34710</v>
      </c>
      <c r="D60" s="12">
        <v>48019</v>
      </c>
      <c r="E60" s="13">
        <v>969.95699999999999</v>
      </c>
      <c r="F60" s="13">
        <v>956.98900000000003</v>
      </c>
      <c r="G60" s="12">
        <v>31720</v>
      </c>
      <c r="H60" s="12">
        <v>39686</v>
      </c>
      <c r="I60" s="13">
        <v>871.21799999999996</v>
      </c>
      <c r="J60" s="13">
        <v>871.21799999999996</v>
      </c>
      <c r="K60" s="12">
        <v>32124</v>
      </c>
      <c r="L60" s="12">
        <v>38648</v>
      </c>
      <c r="M60" s="13">
        <v>954.99599999999998</v>
      </c>
      <c r="N60" s="13">
        <v>1214.934</v>
      </c>
    </row>
    <row r="61" spans="1:14" s="8" customFormat="1" ht="27.95" customHeight="1" x14ac:dyDescent="0.25">
      <c r="A61" s="10">
        <v>47</v>
      </c>
      <c r="B61" s="11" t="s">
        <v>51</v>
      </c>
      <c r="C61" s="12">
        <v>20708</v>
      </c>
      <c r="D61" s="12">
        <v>24578</v>
      </c>
      <c r="E61" s="13">
        <v>0.70099999999999996</v>
      </c>
      <c r="F61" s="13">
        <v>98.986999999999995</v>
      </c>
      <c r="G61" s="12">
        <v>18683</v>
      </c>
      <c r="H61" s="12">
        <v>22401</v>
      </c>
      <c r="I61" s="13">
        <v>12.266</v>
      </c>
      <c r="J61" s="13">
        <v>64.197000000000003</v>
      </c>
      <c r="K61" s="12">
        <v>17928</v>
      </c>
      <c r="L61" s="12">
        <v>22086</v>
      </c>
      <c r="M61" s="13">
        <v>15.507</v>
      </c>
      <c r="N61" s="13">
        <v>93.525999999999996</v>
      </c>
    </row>
    <row r="62" spans="1:14" s="8" customFormat="1" ht="27.95" customHeight="1" x14ac:dyDescent="0.25">
      <c r="A62" s="10">
        <v>48</v>
      </c>
      <c r="B62" s="11" t="s">
        <v>53</v>
      </c>
      <c r="C62" s="12">
        <v>1277</v>
      </c>
      <c r="D62" s="12">
        <v>1169</v>
      </c>
      <c r="E62" s="13">
        <v>0</v>
      </c>
      <c r="F62" s="13">
        <v>0</v>
      </c>
      <c r="G62" s="12">
        <v>432</v>
      </c>
      <c r="H62" s="12">
        <v>478</v>
      </c>
      <c r="I62" s="13">
        <v>17.638999999999999</v>
      </c>
      <c r="J62" s="13">
        <v>4.9080000000000004</v>
      </c>
      <c r="K62" s="12">
        <v>2818</v>
      </c>
      <c r="L62" s="12">
        <v>2777</v>
      </c>
      <c r="M62" s="13">
        <v>0</v>
      </c>
      <c r="N62" s="13">
        <v>12.864000000000001</v>
      </c>
    </row>
    <row r="63" spans="1:14" s="8" customFormat="1" ht="27.95" customHeight="1" x14ac:dyDescent="0.25">
      <c r="A63" s="10">
        <v>49</v>
      </c>
      <c r="B63" s="11" t="s">
        <v>95</v>
      </c>
      <c r="C63" s="12">
        <v>1137</v>
      </c>
      <c r="D63" s="12">
        <v>1168</v>
      </c>
      <c r="E63" s="13">
        <v>0</v>
      </c>
      <c r="F63" s="13">
        <v>0</v>
      </c>
      <c r="G63" s="12">
        <v>752</v>
      </c>
      <c r="H63" s="12">
        <v>835</v>
      </c>
      <c r="I63" s="13">
        <v>0</v>
      </c>
      <c r="J63" s="13">
        <v>0</v>
      </c>
      <c r="K63" s="12">
        <v>608</v>
      </c>
      <c r="L63" s="12">
        <v>1385</v>
      </c>
      <c r="M63" s="13">
        <v>0</v>
      </c>
      <c r="N63" s="13">
        <v>0</v>
      </c>
    </row>
    <row r="64" spans="1:14" s="8" customFormat="1" ht="27.95" customHeight="1" x14ac:dyDescent="0.25">
      <c r="A64" s="10">
        <v>50</v>
      </c>
      <c r="B64" s="11" t="s">
        <v>54</v>
      </c>
      <c r="C64" s="12">
        <v>6674</v>
      </c>
      <c r="D64" s="12">
        <v>4520</v>
      </c>
      <c r="E64" s="13">
        <v>79.748999999999995</v>
      </c>
      <c r="F64" s="13">
        <v>22.780999999999999</v>
      </c>
      <c r="G64" s="12">
        <v>5866</v>
      </c>
      <c r="H64" s="12">
        <v>5643</v>
      </c>
      <c r="I64" s="13">
        <v>65.200999999999993</v>
      </c>
      <c r="J64" s="13">
        <v>15.955</v>
      </c>
      <c r="K64" s="12">
        <v>11809</v>
      </c>
      <c r="L64" s="12">
        <v>9416</v>
      </c>
      <c r="M64" s="13">
        <v>52</v>
      </c>
      <c r="N64" s="13">
        <v>19.317</v>
      </c>
    </row>
    <row r="65" spans="1:14" s="8" customFormat="1" ht="27.95" customHeight="1" x14ac:dyDescent="0.25">
      <c r="A65" s="10">
        <v>51</v>
      </c>
      <c r="B65" s="11" t="s">
        <v>75</v>
      </c>
      <c r="C65" s="12">
        <v>2062</v>
      </c>
      <c r="D65" s="12">
        <v>2157</v>
      </c>
      <c r="E65" s="13">
        <v>0</v>
      </c>
      <c r="F65" s="13">
        <v>0</v>
      </c>
      <c r="G65" s="12">
        <v>1897</v>
      </c>
      <c r="H65" s="12">
        <v>1924</v>
      </c>
      <c r="I65" s="13">
        <v>0</v>
      </c>
      <c r="J65" s="13">
        <v>0</v>
      </c>
      <c r="K65" s="12">
        <v>1990</v>
      </c>
      <c r="L65" s="12">
        <v>2116</v>
      </c>
      <c r="M65" s="13">
        <v>0</v>
      </c>
      <c r="N65" s="13">
        <v>0</v>
      </c>
    </row>
    <row r="66" spans="1:14" s="8" customFormat="1" ht="27.95" customHeight="1" x14ac:dyDescent="0.25">
      <c r="A66" s="10">
        <v>52</v>
      </c>
      <c r="B66" s="11" t="s">
        <v>20</v>
      </c>
      <c r="C66" s="12">
        <v>34946</v>
      </c>
      <c r="D66" s="12">
        <v>49187</v>
      </c>
      <c r="E66" s="13">
        <v>232.14439999999999</v>
      </c>
      <c r="F66" s="13">
        <v>810.86801000000003</v>
      </c>
      <c r="G66" s="12">
        <v>28210</v>
      </c>
      <c r="H66" s="12">
        <v>42279</v>
      </c>
      <c r="I66" s="13">
        <v>240.59639999999999</v>
      </c>
      <c r="J66" s="13">
        <v>891.17243000000008</v>
      </c>
      <c r="K66" s="12">
        <v>29137</v>
      </c>
      <c r="L66" s="12">
        <v>44672</v>
      </c>
      <c r="M66" s="13">
        <v>310.20400000000001</v>
      </c>
      <c r="N66" s="13">
        <v>790.18499999999995</v>
      </c>
    </row>
    <row r="67" spans="1:14" s="8" customFormat="1" ht="27.95" customHeight="1" x14ac:dyDescent="0.25">
      <c r="A67" s="10">
        <v>53</v>
      </c>
      <c r="B67" s="11" t="s">
        <v>76</v>
      </c>
      <c r="C67" s="12">
        <v>3753</v>
      </c>
      <c r="D67" s="12">
        <v>3955</v>
      </c>
      <c r="E67" s="13">
        <v>1.8089999999999999</v>
      </c>
      <c r="F67" s="13">
        <v>49.124000000000002</v>
      </c>
      <c r="G67" s="12">
        <v>3383</v>
      </c>
      <c r="H67" s="12">
        <v>3443</v>
      </c>
      <c r="I67" s="13">
        <v>2.3580000000000001</v>
      </c>
      <c r="J67" s="13">
        <v>49.124000000000002</v>
      </c>
      <c r="K67" s="12">
        <v>3568</v>
      </c>
      <c r="L67" s="12">
        <v>2607</v>
      </c>
      <c r="M67" s="13">
        <v>2.2993999999999999</v>
      </c>
      <c r="N67" s="13">
        <v>49.104999999999997</v>
      </c>
    </row>
    <row r="68" spans="1:14" s="8" customFormat="1" ht="27.95" customHeight="1" x14ac:dyDescent="0.25">
      <c r="A68" s="10">
        <v>54</v>
      </c>
      <c r="B68" s="11" t="s">
        <v>21</v>
      </c>
      <c r="C68" s="12">
        <v>94041</v>
      </c>
      <c r="D68" s="12">
        <v>91511</v>
      </c>
      <c r="E68" s="13">
        <v>5119.8530000000001</v>
      </c>
      <c r="F68" s="13">
        <v>8256.6689999999999</v>
      </c>
      <c r="G68" s="12">
        <v>79203</v>
      </c>
      <c r="H68" s="12">
        <v>86302</v>
      </c>
      <c r="I68" s="13">
        <v>5959.4629999999997</v>
      </c>
      <c r="J68" s="13">
        <v>9669.8050000000003</v>
      </c>
      <c r="K68" s="12">
        <v>82449</v>
      </c>
      <c r="L68" s="12">
        <v>95208</v>
      </c>
      <c r="M68" s="13">
        <v>6668.2430000000004</v>
      </c>
      <c r="N68" s="13">
        <v>10304.555</v>
      </c>
    </row>
    <row r="69" spans="1:14" s="8" customFormat="1" ht="27.95" customHeight="1" x14ac:dyDescent="0.25">
      <c r="A69" s="10">
        <v>55</v>
      </c>
      <c r="B69" s="11" t="s">
        <v>55</v>
      </c>
      <c r="C69" s="12">
        <v>742</v>
      </c>
      <c r="D69" s="12">
        <v>932</v>
      </c>
      <c r="E69" s="13">
        <v>0</v>
      </c>
      <c r="F69" s="13">
        <v>0</v>
      </c>
      <c r="G69" s="12">
        <v>567</v>
      </c>
      <c r="H69" s="12">
        <v>689</v>
      </c>
      <c r="I69" s="13">
        <v>0</v>
      </c>
      <c r="J69" s="13">
        <v>0</v>
      </c>
      <c r="K69" s="12">
        <v>367</v>
      </c>
      <c r="L69" s="12">
        <v>755</v>
      </c>
      <c r="M69" s="13">
        <v>0</v>
      </c>
      <c r="N69" s="13">
        <v>0</v>
      </c>
    </row>
    <row r="70" spans="1:14" s="8" customFormat="1" ht="27.95" customHeight="1" x14ac:dyDescent="0.25">
      <c r="A70" s="10">
        <v>56</v>
      </c>
      <c r="B70" s="11" t="s">
        <v>77</v>
      </c>
      <c r="C70" s="12">
        <v>16460</v>
      </c>
      <c r="D70" s="12">
        <v>18113</v>
      </c>
      <c r="E70" s="13">
        <v>0</v>
      </c>
      <c r="F70" s="13">
        <v>0</v>
      </c>
      <c r="G70" s="12">
        <v>13618</v>
      </c>
      <c r="H70" s="12">
        <v>14666</v>
      </c>
      <c r="I70" s="13">
        <v>0</v>
      </c>
      <c r="J70" s="13">
        <v>0</v>
      </c>
      <c r="K70" s="12">
        <v>13763</v>
      </c>
      <c r="L70" s="12">
        <v>15405</v>
      </c>
      <c r="M70" s="13">
        <v>0</v>
      </c>
      <c r="N70" s="13">
        <v>0</v>
      </c>
    </row>
    <row r="71" spans="1:14" s="8" customFormat="1" ht="27.95" customHeight="1" x14ac:dyDescent="0.25">
      <c r="A71" s="10">
        <v>57</v>
      </c>
      <c r="B71" s="11" t="s">
        <v>78</v>
      </c>
      <c r="C71" s="12">
        <v>48563</v>
      </c>
      <c r="D71" s="12">
        <v>59783</v>
      </c>
      <c r="E71" s="13">
        <v>235.72489999999999</v>
      </c>
      <c r="F71" s="13">
        <v>1482.45</v>
      </c>
      <c r="G71" s="12">
        <v>36957</v>
      </c>
      <c r="H71" s="12">
        <v>52066</v>
      </c>
      <c r="I71" s="13">
        <v>145.18199999999999</v>
      </c>
      <c r="J71" s="13">
        <v>2279.011</v>
      </c>
      <c r="K71" s="12">
        <v>44573</v>
      </c>
      <c r="L71" s="12">
        <v>58317</v>
      </c>
      <c r="M71" s="13">
        <v>284.065</v>
      </c>
      <c r="N71" s="13">
        <v>2797.0450000000001</v>
      </c>
    </row>
    <row r="72" spans="1:14" s="8" customFormat="1" ht="27.95" customHeight="1" x14ac:dyDescent="0.25">
      <c r="A72" s="10">
        <v>58</v>
      </c>
      <c r="B72" s="11" t="s">
        <v>93</v>
      </c>
      <c r="C72" s="12">
        <v>2414</v>
      </c>
      <c r="D72" s="12">
        <v>2279</v>
      </c>
      <c r="E72" s="13">
        <v>0</v>
      </c>
      <c r="F72" s="13">
        <v>2.0249999999999999</v>
      </c>
      <c r="G72" s="12">
        <v>2416</v>
      </c>
      <c r="H72" s="12">
        <v>2376</v>
      </c>
      <c r="I72" s="13">
        <v>0</v>
      </c>
      <c r="J72" s="13">
        <v>6.9610000000000003</v>
      </c>
      <c r="K72" s="12">
        <v>2477</v>
      </c>
      <c r="L72" s="12">
        <v>3061</v>
      </c>
      <c r="M72" s="13">
        <v>0</v>
      </c>
      <c r="N72" s="13">
        <v>8.0990000000000002</v>
      </c>
    </row>
    <row r="73" spans="1:14" s="8" customFormat="1" ht="27.95" customHeight="1" x14ac:dyDescent="0.25">
      <c r="A73" s="10">
        <v>59</v>
      </c>
      <c r="B73" s="11" t="s">
        <v>67</v>
      </c>
      <c r="C73" s="12">
        <v>35161</v>
      </c>
      <c r="D73" s="12">
        <v>40320</v>
      </c>
      <c r="E73" s="13">
        <v>0.55959999999999999</v>
      </c>
      <c r="F73" s="13">
        <v>113.26600000000001</v>
      </c>
      <c r="G73" s="12">
        <v>26843</v>
      </c>
      <c r="H73" s="12">
        <v>33806</v>
      </c>
      <c r="I73" s="13">
        <v>1.0245</v>
      </c>
      <c r="J73" s="13">
        <v>76.445300000000003</v>
      </c>
      <c r="K73" s="12">
        <v>31515</v>
      </c>
      <c r="L73" s="12">
        <v>34472</v>
      </c>
      <c r="M73" s="13">
        <v>1.7785</v>
      </c>
      <c r="N73" s="13">
        <v>77.8</v>
      </c>
    </row>
    <row r="74" spans="1:14" s="8" customFormat="1" ht="27.95" customHeight="1" x14ac:dyDescent="0.25">
      <c r="A74" s="10">
        <v>60</v>
      </c>
      <c r="B74" s="11" t="s">
        <v>68</v>
      </c>
      <c r="C74" s="12">
        <v>81032</v>
      </c>
      <c r="D74" s="12">
        <v>106883</v>
      </c>
      <c r="E74" s="13">
        <v>2035.623</v>
      </c>
      <c r="F74" s="13">
        <v>2178.3670000000002</v>
      </c>
      <c r="G74" s="12">
        <v>73069</v>
      </c>
      <c r="H74" s="12">
        <v>95685</v>
      </c>
      <c r="I74" s="13">
        <v>1955.789</v>
      </c>
      <c r="J74" s="13">
        <v>2560.3139999999999</v>
      </c>
      <c r="K74" s="12">
        <v>79607</v>
      </c>
      <c r="L74" s="12">
        <v>100521</v>
      </c>
      <c r="M74" s="13">
        <v>2693.0409000000004</v>
      </c>
      <c r="N74" s="13">
        <v>2859.0260012999997</v>
      </c>
    </row>
    <row r="75" spans="1:14" s="8" customFormat="1" ht="27.95" customHeight="1" x14ac:dyDescent="0.25">
      <c r="A75" s="10">
        <v>61</v>
      </c>
      <c r="B75" s="11" t="s">
        <v>35</v>
      </c>
      <c r="C75" s="12">
        <v>42828</v>
      </c>
      <c r="D75" s="12">
        <v>48703</v>
      </c>
      <c r="E75" s="13">
        <v>316.68299999999999</v>
      </c>
      <c r="F75" s="13">
        <v>696.91700000000003</v>
      </c>
      <c r="G75" s="12">
        <v>36660</v>
      </c>
      <c r="H75" s="12">
        <v>39651</v>
      </c>
      <c r="I75" s="13">
        <v>368.87599999999998</v>
      </c>
      <c r="J75" s="13">
        <v>640.02300000000002</v>
      </c>
      <c r="K75" s="12">
        <v>37346</v>
      </c>
      <c r="L75" s="12">
        <v>40262</v>
      </c>
      <c r="M75" s="13">
        <v>476.21800000000002</v>
      </c>
      <c r="N75" s="13">
        <v>764.22500000000002</v>
      </c>
    </row>
    <row r="76" spans="1:14" s="8" customFormat="1" ht="27.95" customHeight="1" x14ac:dyDescent="0.25">
      <c r="A76" s="10">
        <v>62</v>
      </c>
      <c r="B76" s="11" t="s">
        <v>40</v>
      </c>
      <c r="C76" s="12">
        <v>12280</v>
      </c>
      <c r="D76" s="12">
        <v>12420</v>
      </c>
      <c r="E76" s="13">
        <v>536.74599999999998</v>
      </c>
      <c r="F76" s="13">
        <v>491.73500000000001</v>
      </c>
      <c r="G76" s="12">
        <v>11015</v>
      </c>
      <c r="H76" s="12">
        <v>12280</v>
      </c>
      <c r="I76" s="13">
        <v>615.71500000000003</v>
      </c>
      <c r="J76" s="13">
        <v>532.78099999999995</v>
      </c>
      <c r="K76" s="12">
        <v>9763</v>
      </c>
      <c r="L76" s="12">
        <v>14036</v>
      </c>
      <c r="M76" s="13">
        <v>770.13499999999999</v>
      </c>
      <c r="N76" s="13">
        <v>710.93600000000004</v>
      </c>
    </row>
    <row r="77" spans="1:14" s="8" customFormat="1" ht="27.95" customHeight="1" x14ac:dyDescent="0.25">
      <c r="A77" s="10">
        <v>63</v>
      </c>
      <c r="B77" s="11" t="s">
        <v>83</v>
      </c>
      <c r="C77" s="12">
        <v>20518</v>
      </c>
      <c r="D77" s="12">
        <v>23293</v>
      </c>
      <c r="E77" s="13">
        <v>4.1340000000000003</v>
      </c>
      <c r="F77" s="13">
        <v>155.197</v>
      </c>
      <c r="G77" s="12">
        <v>18445</v>
      </c>
      <c r="H77" s="12">
        <v>20738</v>
      </c>
      <c r="I77" s="13">
        <v>5.3419999999999996</v>
      </c>
      <c r="J77" s="13">
        <v>172.24100000000001</v>
      </c>
      <c r="K77" s="12">
        <v>20880</v>
      </c>
      <c r="L77" s="12">
        <v>23365</v>
      </c>
      <c r="M77" s="13">
        <v>18.812999999999999</v>
      </c>
      <c r="N77" s="13">
        <v>221.511</v>
      </c>
    </row>
    <row r="78" spans="1:14" s="8" customFormat="1" ht="27.95" customHeight="1" x14ac:dyDescent="0.25">
      <c r="A78" s="10">
        <v>64</v>
      </c>
      <c r="B78" s="11" t="s">
        <v>45</v>
      </c>
      <c r="C78" s="12">
        <v>48461</v>
      </c>
      <c r="D78" s="12">
        <v>54686</v>
      </c>
      <c r="E78" s="13">
        <v>1612.7080000000001</v>
      </c>
      <c r="F78" s="13">
        <v>1652.2049999999999</v>
      </c>
      <c r="G78" s="12">
        <v>30000</v>
      </c>
      <c r="H78" s="12">
        <v>47459</v>
      </c>
      <c r="I78" s="13">
        <v>1602.5350000000001</v>
      </c>
      <c r="J78" s="13">
        <v>2026.395</v>
      </c>
      <c r="K78" s="12">
        <v>35113</v>
      </c>
      <c r="L78" s="12">
        <v>46581</v>
      </c>
      <c r="M78" s="13">
        <v>2103.6779999999999</v>
      </c>
      <c r="N78" s="13">
        <v>2119.7570000000001</v>
      </c>
    </row>
    <row r="79" spans="1:14" s="8" customFormat="1" ht="27.95" customHeight="1" x14ac:dyDescent="0.25">
      <c r="A79" s="10">
        <v>65</v>
      </c>
      <c r="B79" s="11" t="s">
        <v>84</v>
      </c>
      <c r="C79" s="12">
        <v>2023</v>
      </c>
      <c r="D79" s="12">
        <v>1980</v>
      </c>
      <c r="E79" s="13">
        <v>22.869</v>
      </c>
      <c r="F79" s="13">
        <v>1.5169999999999999</v>
      </c>
      <c r="G79" s="12">
        <v>1771</v>
      </c>
      <c r="H79" s="12">
        <v>2246</v>
      </c>
      <c r="I79" s="13">
        <v>21.734999999999999</v>
      </c>
      <c r="J79" s="13">
        <v>16.23</v>
      </c>
      <c r="K79" s="12">
        <v>3078</v>
      </c>
      <c r="L79" s="12">
        <v>3055</v>
      </c>
      <c r="M79" s="13">
        <v>47.627000000000002</v>
      </c>
      <c r="N79" s="13">
        <v>11.688000000000001</v>
      </c>
    </row>
    <row r="80" spans="1:14" s="8" customFormat="1" ht="27.95" customHeight="1" x14ac:dyDescent="0.25">
      <c r="A80" s="10">
        <v>66</v>
      </c>
      <c r="B80" s="11" t="s">
        <v>79</v>
      </c>
      <c r="C80" s="12">
        <v>5895</v>
      </c>
      <c r="D80" s="12">
        <v>6134</v>
      </c>
      <c r="E80" s="13">
        <v>0</v>
      </c>
      <c r="F80" s="13">
        <v>0</v>
      </c>
      <c r="G80" s="12">
        <v>7033</v>
      </c>
      <c r="H80" s="12">
        <v>7340</v>
      </c>
      <c r="I80" s="13">
        <v>0</v>
      </c>
      <c r="J80" s="13">
        <v>0</v>
      </c>
      <c r="K80" s="12">
        <v>7125</v>
      </c>
      <c r="L80" s="12">
        <v>7491</v>
      </c>
      <c r="M80" s="13">
        <v>0</v>
      </c>
      <c r="N80" s="13">
        <v>0</v>
      </c>
    </row>
    <row r="81" spans="1:14" s="8" customFormat="1" ht="27.95" customHeight="1" x14ac:dyDescent="0.25">
      <c r="A81" s="10">
        <v>67</v>
      </c>
      <c r="B81" s="11" t="s">
        <v>22</v>
      </c>
      <c r="C81" s="12">
        <v>22357</v>
      </c>
      <c r="D81" s="12">
        <v>21311</v>
      </c>
      <c r="E81" s="13">
        <v>2298.018</v>
      </c>
      <c r="F81" s="13">
        <v>2661.7055</v>
      </c>
      <c r="G81" s="12">
        <v>18843</v>
      </c>
      <c r="H81" s="12">
        <v>20358</v>
      </c>
      <c r="I81" s="13">
        <v>1850.2265</v>
      </c>
      <c r="J81" s="13">
        <v>2065.8224599999999</v>
      </c>
      <c r="K81" s="12">
        <v>19067</v>
      </c>
      <c r="L81" s="12">
        <v>21608</v>
      </c>
      <c r="M81" s="13">
        <v>1864.6015</v>
      </c>
      <c r="N81" s="13">
        <v>2216.4354600000001</v>
      </c>
    </row>
    <row r="82" spans="1:14" s="8" customFormat="1" ht="27.95" customHeight="1" x14ac:dyDescent="0.25">
      <c r="A82" s="10">
        <v>68</v>
      </c>
      <c r="B82" s="11" t="s">
        <v>23</v>
      </c>
      <c r="C82" s="12">
        <v>12482</v>
      </c>
      <c r="D82" s="12">
        <v>10518</v>
      </c>
      <c r="E82" s="13">
        <v>121.60704999999999</v>
      </c>
      <c r="F82" s="13">
        <v>218.81352999999999</v>
      </c>
      <c r="G82" s="12">
        <v>6734</v>
      </c>
      <c r="H82" s="12">
        <v>5794</v>
      </c>
      <c r="I82" s="13">
        <v>56.498669999999997</v>
      </c>
      <c r="J82" s="13">
        <v>36.689230000000002</v>
      </c>
      <c r="K82" s="12">
        <v>7044</v>
      </c>
      <c r="L82" s="12">
        <v>7438</v>
      </c>
      <c r="M82" s="13">
        <v>83.036799999999999</v>
      </c>
      <c r="N82" s="13">
        <v>42.087449999999997</v>
      </c>
    </row>
    <row r="83" spans="1:14" s="8" customFormat="1" ht="27.95" customHeight="1" x14ac:dyDescent="0.25">
      <c r="A83" s="10">
        <v>69</v>
      </c>
      <c r="B83" s="11" t="s">
        <v>69</v>
      </c>
      <c r="C83" s="12">
        <v>0</v>
      </c>
      <c r="D83" s="12">
        <v>0</v>
      </c>
      <c r="E83" s="13">
        <v>2322.86</v>
      </c>
      <c r="F83" s="13">
        <v>3968.9259999999999</v>
      </c>
      <c r="G83" s="12">
        <v>0</v>
      </c>
      <c r="H83" s="12">
        <v>0</v>
      </c>
      <c r="I83" s="13">
        <v>1607.9870000000001</v>
      </c>
      <c r="J83" s="13">
        <v>3708.9090000000001</v>
      </c>
      <c r="K83" s="12">
        <v>0</v>
      </c>
      <c r="L83" s="12">
        <v>0</v>
      </c>
      <c r="M83" s="13">
        <v>3478.1120000000001</v>
      </c>
      <c r="N83" s="13">
        <v>4207.4070000000002</v>
      </c>
    </row>
    <row r="84" spans="1:14" s="8" customFormat="1" ht="27.95" customHeight="1" x14ac:dyDescent="0.25">
      <c r="A84" s="10">
        <v>70</v>
      </c>
      <c r="B84" s="11" t="s">
        <v>70</v>
      </c>
      <c r="C84" s="12">
        <v>6478</v>
      </c>
      <c r="D84" s="12">
        <v>6642</v>
      </c>
      <c r="E84" s="13">
        <v>0</v>
      </c>
      <c r="F84" s="13">
        <v>0</v>
      </c>
      <c r="G84" s="12">
        <v>5909</v>
      </c>
      <c r="H84" s="12">
        <v>5969</v>
      </c>
      <c r="I84" s="13">
        <v>0</v>
      </c>
      <c r="J84" s="13">
        <v>0</v>
      </c>
      <c r="K84" s="12">
        <v>6254</v>
      </c>
      <c r="L84" s="12">
        <v>6532</v>
      </c>
      <c r="M84" s="13">
        <v>0</v>
      </c>
      <c r="N84" s="13">
        <v>0</v>
      </c>
    </row>
    <row r="85" spans="1:14" s="8" customFormat="1" ht="27.95" customHeight="1" x14ac:dyDescent="0.25">
      <c r="A85" s="10">
        <v>71</v>
      </c>
      <c r="B85" s="11" t="s">
        <v>24</v>
      </c>
      <c r="C85" s="12">
        <v>3939</v>
      </c>
      <c r="D85" s="12">
        <v>3618</v>
      </c>
      <c r="E85" s="13">
        <v>21.102</v>
      </c>
      <c r="F85" s="13">
        <v>153.39500000000001</v>
      </c>
      <c r="G85" s="12">
        <v>3381</v>
      </c>
      <c r="H85" s="12">
        <v>3478</v>
      </c>
      <c r="I85" s="13">
        <v>40.344000000000001</v>
      </c>
      <c r="J85" s="13">
        <v>117.809</v>
      </c>
      <c r="K85" s="12">
        <v>3440</v>
      </c>
      <c r="L85" s="12">
        <v>4257</v>
      </c>
      <c r="M85" s="13">
        <v>28.888999999999999</v>
      </c>
      <c r="N85" s="13">
        <v>108.764</v>
      </c>
    </row>
    <row r="86" spans="1:14" s="8" customFormat="1" ht="27.95" customHeight="1" x14ac:dyDescent="0.25">
      <c r="A86" s="10">
        <v>72</v>
      </c>
      <c r="B86" s="11" t="s">
        <v>85</v>
      </c>
      <c r="C86" s="12">
        <v>11123</v>
      </c>
      <c r="D86" s="12">
        <v>10432</v>
      </c>
      <c r="E86" s="13">
        <v>9.3055000000000003</v>
      </c>
      <c r="F86" s="13">
        <v>19.142799999999994</v>
      </c>
      <c r="G86" s="12">
        <v>6678</v>
      </c>
      <c r="H86" s="12">
        <v>7676</v>
      </c>
      <c r="I86" s="13">
        <v>13.4817</v>
      </c>
      <c r="J86" s="13">
        <v>12.579700000000001</v>
      </c>
      <c r="K86" s="12">
        <v>7460</v>
      </c>
      <c r="L86" s="12">
        <v>7918</v>
      </c>
      <c r="M86" s="13">
        <v>21.1675</v>
      </c>
      <c r="N86" s="13">
        <v>15.170400000000001</v>
      </c>
    </row>
    <row r="87" spans="1:14" s="8" customFormat="1" ht="27.95" customHeight="1" x14ac:dyDescent="0.25">
      <c r="A87" s="10">
        <v>73</v>
      </c>
      <c r="B87" s="11" t="s">
        <v>25</v>
      </c>
      <c r="C87" s="12">
        <v>21596</v>
      </c>
      <c r="D87" s="12">
        <v>23613</v>
      </c>
      <c r="E87" s="13">
        <v>572.19500000000005</v>
      </c>
      <c r="F87" s="13">
        <v>1103.6400000000001</v>
      </c>
      <c r="G87" s="12">
        <v>21953</v>
      </c>
      <c r="H87" s="12">
        <v>24152</v>
      </c>
      <c r="I87" s="13">
        <v>511.85899999999998</v>
      </c>
      <c r="J87" s="13">
        <v>962.63900000000001</v>
      </c>
      <c r="K87" s="12">
        <v>18483</v>
      </c>
      <c r="L87" s="12">
        <v>25818</v>
      </c>
      <c r="M87" s="13">
        <v>582.65899999999999</v>
      </c>
      <c r="N87" s="13">
        <v>1040.3399999999999</v>
      </c>
    </row>
    <row r="88" spans="1:14" s="8" customFormat="1" ht="27.95" customHeight="1" x14ac:dyDescent="0.25">
      <c r="A88" s="10">
        <v>74</v>
      </c>
      <c r="B88" s="11" t="s">
        <v>26</v>
      </c>
      <c r="C88" s="12">
        <v>1180</v>
      </c>
      <c r="D88" s="12">
        <v>1094</v>
      </c>
      <c r="E88" s="13">
        <v>0</v>
      </c>
      <c r="F88" s="13">
        <v>11.3508</v>
      </c>
      <c r="G88" s="12">
        <v>1122</v>
      </c>
      <c r="H88" s="12">
        <v>1078</v>
      </c>
      <c r="I88" s="13">
        <v>0</v>
      </c>
      <c r="J88" s="13">
        <v>8.9932999999999996</v>
      </c>
      <c r="K88" s="12">
        <v>802</v>
      </c>
      <c r="L88" s="12">
        <v>1189</v>
      </c>
      <c r="M88" s="13">
        <v>0</v>
      </c>
      <c r="N88" s="13">
        <v>4.4216000000000006</v>
      </c>
    </row>
    <row r="89" spans="1:14" ht="27.75" customHeight="1" x14ac:dyDescent="0.25">
      <c r="A89" s="30" t="s">
        <v>27</v>
      </c>
      <c r="B89" s="30"/>
      <c r="C89" s="18">
        <f t="shared" ref="C89:N89" si="1">SUM(C15:C88)</f>
        <v>1436653</v>
      </c>
      <c r="D89" s="18">
        <f t="shared" si="1"/>
        <v>1609753</v>
      </c>
      <c r="E89" s="19">
        <f t="shared" si="1"/>
        <v>45081.036511999991</v>
      </c>
      <c r="F89" s="19">
        <f t="shared" si="1"/>
        <v>61170.31683500002</v>
      </c>
      <c r="G89" s="18">
        <f t="shared" si="1"/>
        <v>1171745</v>
      </c>
      <c r="H89" s="18">
        <f t="shared" si="1"/>
        <v>1390152</v>
      </c>
      <c r="I89" s="19">
        <f t="shared" si="1"/>
        <v>43252.428276999985</v>
      </c>
      <c r="J89" s="19">
        <f t="shared" si="1"/>
        <v>60620.480730000039</v>
      </c>
      <c r="K89" s="18">
        <f t="shared" si="1"/>
        <v>1240424</v>
      </c>
      <c r="L89" s="18">
        <f t="shared" si="1"/>
        <v>1565556</v>
      </c>
      <c r="M89" s="19">
        <f t="shared" si="1"/>
        <v>52597.796122000022</v>
      </c>
      <c r="N89" s="19">
        <f t="shared" si="1"/>
        <v>70794.963350299993</v>
      </c>
    </row>
    <row r="90" spans="1:14" ht="41.25" customHeight="1" x14ac:dyDescent="0.25">
      <c r="A90" s="31" t="s">
        <v>28</v>
      </c>
      <c r="B90" s="31"/>
      <c r="C90" s="20">
        <f t="shared" ref="C90:N90" si="2">C13+C89</f>
        <v>2556445</v>
      </c>
      <c r="D90" s="20">
        <f t="shared" si="2"/>
        <v>2798506</v>
      </c>
      <c r="E90" s="21">
        <f t="shared" si="2"/>
        <v>49373.158301999996</v>
      </c>
      <c r="F90" s="21">
        <f t="shared" si="2"/>
        <v>71591.002565000017</v>
      </c>
      <c r="G90" s="20">
        <f t="shared" si="2"/>
        <v>2176083</v>
      </c>
      <c r="H90" s="20">
        <f t="shared" si="2"/>
        <v>2513532</v>
      </c>
      <c r="I90" s="21">
        <f t="shared" si="2"/>
        <v>48354.589846999981</v>
      </c>
      <c r="J90" s="21">
        <f t="shared" si="2"/>
        <v>71300.177380000037</v>
      </c>
      <c r="K90" s="20">
        <f t="shared" si="2"/>
        <v>2310468</v>
      </c>
      <c r="L90" s="20">
        <f t="shared" si="2"/>
        <v>2820345</v>
      </c>
      <c r="M90" s="21">
        <f t="shared" si="2"/>
        <v>56969.498702000019</v>
      </c>
      <c r="N90" s="21">
        <f t="shared" si="2"/>
        <v>84311.956460299989</v>
      </c>
    </row>
    <row r="91" spans="1:14" s="8" customFormat="1" ht="30.75" customHeight="1" x14ac:dyDescent="0.3">
      <c r="A91" s="24" t="s">
        <v>87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6"/>
    </row>
    <row r="92" spans="1:14" s="8" customFormat="1" ht="21" customHeight="1" x14ac:dyDescent="0.3">
      <c r="A92" s="23" t="s">
        <v>34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 ht="18.75" customHeight="1" x14ac:dyDescent="0.25"/>
    <row r="94" spans="1:14" ht="18.75" customHeight="1" x14ac:dyDescent="0.25"/>
    <row r="95" spans="1:14" ht="18.75" customHeight="1" x14ac:dyDescent="0.25"/>
  </sheetData>
  <mergeCells count="14">
    <mergeCell ref="A1:N1"/>
    <mergeCell ref="A2:N2"/>
    <mergeCell ref="A3:A4"/>
    <mergeCell ref="B3:B4"/>
    <mergeCell ref="C3:F3"/>
    <mergeCell ref="G3:J3"/>
    <mergeCell ref="K3:N3"/>
    <mergeCell ref="A92:N92"/>
    <mergeCell ref="A91:N91"/>
    <mergeCell ref="A5:N5"/>
    <mergeCell ref="A13:B13"/>
    <mergeCell ref="A14:N14"/>
    <mergeCell ref="A89:B89"/>
    <mergeCell ref="A90:B90"/>
  </mergeCells>
  <printOptions horizontalCentered="1"/>
  <pageMargins left="0" right="0" top="3.937007874015748E-2" bottom="3.937007874015748E-2" header="0.31496062992125984" footer="0.31496062992125984"/>
  <pageSetup scale="39" fitToHeight="2" orientation="landscape" r:id="rId1"/>
  <headerFooter>
    <oddFooter>Page &amp;P of &amp;N</oddFooter>
  </headerFooter>
  <rowBreaks count="1" manualBreakCount="1">
    <brk id="45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MONTHWISE</vt:lpstr>
      <vt:lpstr>MONTHWISE!Print_Area</vt:lpstr>
      <vt:lpstr>MONTHWISE!Print_Titles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2023-05-04T07:00:22Z</dcterms:modified>
</cp:coreProperties>
</file>