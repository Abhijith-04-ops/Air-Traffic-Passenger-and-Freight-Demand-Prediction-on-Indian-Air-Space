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735"/>
  </bookViews>
  <sheets>
    <sheet name="totaldom20" sheetId="14" r:id="rId1"/>
  </sheets>
  <definedNames>
    <definedName name="\a" localSheetId="0">totaldom20!#REF!</definedName>
    <definedName name="\a">#REF!</definedName>
    <definedName name="\b" localSheetId="0">totaldom20!#REF!</definedName>
    <definedName name="\b">#REF!</definedName>
    <definedName name="\c">#N/A</definedName>
    <definedName name="\d" localSheetId="0">totaldom20!#REF!</definedName>
    <definedName name="\d">#REF!</definedName>
    <definedName name="\e" localSheetId="0">totaldom20!#REF!</definedName>
    <definedName name="\e">#REF!</definedName>
    <definedName name="\f" localSheetId="0">totaldom20!#REF!</definedName>
    <definedName name="\f">#REF!</definedName>
    <definedName name="\g" localSheetId="0">totaldom20!#REF!</definedName>
    <definedName name="\g">#REF!</definedName>
    <definedName name="\h" localSheetId="0">totaldom20!#REF!</definedName>
    <definedName name="\h">#REF!</definedName>
    <definedName name="\i" localSheetId="0">totaldom20!#REF!</definedName>
    <definedName name="\i">#REF!</definedName>
    <definedName name="\j" localSheetId="0">totaldom20!#REF!</definedName>
    <definedName name="\j">#REF!</definedName>
    <definedName name="\k" localSheetId="0">totaldom20!#REF!</definedName>
    <definedName name="\k">#REF!</definedName>
    <definedName name="\l">#N/A</definedName>
    <definedName name="\m" localSheetId="0">totaldom20!#REF!</definedName>
    <definedName name="\m">#REF!</definedName>
    <definedName name="\p" localSheetId="0">totaldom20!#REF!</definedName>
    <definedName name="\p">#REF!</definedName>
    <definedName name="\x" localSheetId="0">totaldom20!$C$161</definedName>
    <definedName name="\x">#REF!</definedName>
    <definedName name="_Regression_Int" localSheetId="0" hidden="1">1</definedName>
    <definedName name="_xlnm.Print_Area" localSheetId="0">totaldom20!$A$1:$Q$38</definedName>
    <definedName name="Print_Area_MI" localSheetId="0">totaldom20!$A$1:$Q$16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H26" i="14" l="1"/>
  <c r="O34" i="14" l="1"/>
  <c r="Q34" i="14" s="1"/>
  <c r="K34" i="14"/>
  <c r="H34" i="14"/>
  <c r="O12" i="14"/>
  <c r="O15" i="14"/>
  <c r="Q15" i="14" s="1"/>
  <c r="K15" i="14"/>
  <c r="H15" i="14"/>
  <c r="O33" i="14" l="1"/>
  <c r="Q33" i="14" s="1"/>
  <c r="K33" i="14"/>
  <c r="H33" i="14"/>
  <c r="O14" i="14"/>
  <c r="Q14" i="14" s="1"/>
  <c r="K14" i="14"/>
  <c r="H14" i="14"/>
  <c r="O32" i="14" l="1"/>
  <c r="Q32" i="14" s="1"/>
  <c r="K32" i="14"/>
  <c r="H32" i="14"/>
  <c r="O13" i="14"/>
  <c r="Q13" i="14" s="1"/>
  <c r="K13" i="14"/>
  <c r="H13" i="14"/>
  <c r="O31" i="14" l="1"/>
  <c r="Q31" i="14" s="1"/>
  <c r="K31" i="14"/>
  <c r="H31" i="14"/>
  <c r="Q12" i="14"/>
  <c r="K12" i="14"/>
  <c r="H12" i="14"/>
  <c r="O26" i="14" l="1"/>
  <c r="Q26" i="14" s="1"/>
  <c r="K26" i="14" l="1"/>
  <c r="O29" i="14" l="1"/>
  <c r="Q29" i="14" s="1"/>
  <c r="O30" i="14"/>
  <c r="Q30" i="14" s="1"/>
  <c r="K30" i="14"/>
  <c r="K29" i="14"/>
  <c r="H29" i="14"/>
  <c r="H30" i="14"/>
  <c r="O10" i="14"/>
  <c r="Q10" i="14" s="1"/>
  <c r="O11" i="14"/>
  <c r="Q11" i="14" s="1"/>
  <c r="K10" i="14"/>
  <c r="K11" i="14"/>
  <c r="H5" i="14"/>
  <c r="H6" i="14"/>
  <c r="H8" i="14"/>
  <c r="H9" i="14"/>
  <c r="H10" i="14"/>
  <c r="H11" i="14"/>
  <c r="O28" i="14" l="1"/>
  <c r="Q28" i="14" s="1"/>
  <c r="K28" i="14"/>
  <c r="H28" i="14"/>
  <c r="O9" i="14"/>
  <c r="Q9" i="14" s="1"/>
  <c r="K9" i="14"/>
  <c r="P35" i="14" l="1"/>
  <c r="N35" i="14"/>
  <c r="M35" i="14"/>
  <c r="L35" i="14"/>
  <c r="J35" i="14"/>
  <c r="I35" i="14"/>
  <c r="G35" i="14"/>
  <c r="F35" i="14"/>
  <c r="E35" i="14"/>
  <c r="D35" i="14"/>
  <c r="C35" i="14"/>
  <c r="B35" i="14"/>
  <c r="O27" i="14"/>
  <c r="Q27" i="14" s="1"/>
  <c r="K27" i="14"/>
  <c r="H27" i="14"/>
  <c r="P16" i="14"/>
  <c r="N16" i="14"/>
  <c r="M16" i="14"/>
  <c r="L16" i="14"/>
  <c r="J16" i="14"/>
  <c r="I16" i="14"/>
  <c r="G16" i="14"/>
  <c r="F16" i="14"/>
  <c r="E16" i="14"/>
  <c r="D16" i="14"/>
  <c r="C16" i="14"/>
  <c r="B16" i="14"/>
  <c r="O7" i="14"/>
  <c r="Q7" i="14" s="1"/>
  <c r="O8" i="14"/>
  <c r="Q8" i="14" s="1"/>
  <c r="K7" i="14"/>
  <c r="K8" i="14"/>
  <c r="H35" i="14" l="1"/>
  <c r="H16" i="14"/>
  <c r="O25" i="14"/>
  <c r="Q25" i="14" s="1"/>
  <c r="K25" i="14"/>
  <c r="H25" i="14"/>
  <c r="O6" i="14"/>
  <c r="K6" i="14"/>
  <c r="Q6" i="14" l="1"/>
  <c r="O24" i="14"/>
  <c r="Q24" i="14" s="1"/>
  <c r="K24" i="14"/>
  <c r="H24" i="14"/>
  <c r="K5" i="14"/>
  <c r="O5" i="14"/>
  <c r="Q5" i="14" s="1"/>
  <c r="O23" i="14" l="1"/>
  <c r="K23" i="14"/>
  <c r="K35" i="14" s="1"/>
  <c r="H23" i="14"/>
  <c r="K4" i="14"/>
  <c r="K16" i="14" s="1"/>
  <c r="O4" i="14"/>
  <c r="H4" i="14"/>
  <c r="Q23" i="14" l="1"/>
  <c r="O35" i="14"/>
  <c r="Q35" i="14" s="1"/>
  <c r="Q4" i="14"/>
  <c r="O16" i="14"/>
  <c r="Q16" i="14" s="1"/>
</calcChain>
</file>

<file path=xl/sharedStrings.xml><?xml version="1.0" encoding="utf-8"?>
<sst xmlns="http://schemas.openxmlformats.org/spreadsheetml/2006/main" count="75" uniqueCount="41">
  <si>
    <t>[</t>
  </si>
  <si>
    <t>AIRCRAFT FLOWN</t>
  </si>
  <si>
    <t xml:space="preserve"> CARGO CARRIED </t>
  </si>
  <si>
    <t>APR</t>
  </si>
  <si>
    <t>MAY</t>
  </si>
  <si>
    <t>NOV</t>
  </si>
  <si>
    <t>DEC</t>
  </si>
  <si>
    <t>MAR</t>
  </si>
  <si>
    <t>MONTH</t>
  </si>
  <si>
    <t xml:space="preserve">    TONNE  KMS. PERFORMED </t>
  </si>
  <si>
    <t xml:space="preserve">          # # WEIGHT LOAD FACTOR = (TONNE KMS PERFORMED/ AVAILABLE TONNE KMS)*100</t>
  </si>
  <si>
    <t>NOTE:- # PAX LOAD FACTOR = (KM PERFORMED/AVAILABLE SEAT KMS)*100</t>
  </si>
  <si>
    <t xml:space="preserve">FEB </t>
  </si>
  <si>
    <t xml:space="preserve">JAN </t>
  </si>
  <si>
    <t>SOURCE:-ICAO ATR FORM A FURNISHED BY ALL SCHEDULED INDIAN CARRIERS.</t>
  </si>
  <si>
    <t>Total</t>
  </si>
  <si>
    <t>DEPARTURES
(IN NUMBER)</t>
  </si>
  <si>
    <t>HOURS
(IN NUMBER)</t>
  </si>
  <si>
    <t>KILOMETRE
(IN THOUSAND)</t>
  </si>
  <si>
    <t>PASSENGERS CARRIED
(IN NUMBER)</t>
  </si>
  <si>
    <t>PASSENGER KMS.PERFORMED
(IN THOUSAND)</t>
  </si>
  <si>
    <t>AVAILABLE SEAT KILOMETRE
(IN THOUSAND)</t>
  </si>
  <si>
    <t xml:space="preserve"> FREIGHT
(IN TONNE)</t>
  </si>
  <si>
    <t>MAIL
(IN TONNE)</t>
  </si>
  <si>
    <t xml:space="preserve"> TOTAL
(IN TONNE)</t>
  </si>
  <si>
    <t>FREIGHT
(IN THOUSAND)</t>
  </si>
  <si>
    <t xml:space="preserve"> MAIL
(IN THOUSAND)</t>
  </si>
  <si>
    <t>AVAILABLE TONNE KILOMETRE
(IN THOUSAND)</t>
  </si>
  <si>
    <t xml:space="preserve"> PAX.LOAD FACTOR#
(IN %)</t>
  </si>
  <si>
    <t xml:space="preserve"> WEIGHT LOAD FACTOR##
(IN %)</t>
  </si>
  <si>
    <t xml:space="preserve"> PASSENGER
(IN THOUSAND)</t>
  </si>
  <si>
    <t xml:space="preserve"> TOTAL
(IN THOUSAND)</t>
  </si>
  <si>
    <t xml:space="preserve">    TONNE  KILOMETRE PERFORMED </t>
  </si>
  <si>
    <t xml:space="preserve">NOTE:- # PAX LOAD FACTOR = (KM PERFORMED/AVAILABLE SEAT KMS)*100 </t>
  </si>
  <si>
    <r>
      <rPr>
        <b/>
        <sz val="13"/>
        <color theme="1"/>
        <rFont val="Cambria"/>
        <family val="1"/>
      </rPr>
      <t>Monthly Traffic And Operating Statistics  of Indian Carriers  During 2020 (Provisional)</t>
    </r>
    <r>
      <rPr>
        <b/>
        <sz val="12"/>
        <color theme="1"/>
        <rFont val="Cambria"/>
        <family val="1"/>
      </rPr>
      <t xml:space="preserve">
 </t>
    </r>
    <r>
      <rPr>
        <b/>
        <sz val="16"/>
        <color theme="1"/>
        <rFont val="Cambria"/>
        <family val="1"/>
      </rPr>
      <t>( Scheduled Domestic Services)</t>
    </r>
  </si>
  <si>
    <r>
      <rPr>
        <b/>
        <sz val="13"/>
        <color theme="1"/>
        <rFont val="Cambria"/>
        <family val="1"/>
      </rPr>
      <t>Monthly Traffic And Operating Statistics  of Indian Carriers  During 2020 (Provisional)</t>
    </r>
    <r>
      <rPr>
        <b/>
        <sz val="12"/>
        <color theme="1"/>
        <rFont val="Cambria"/>
        <family val="1"/>
      </rPr>
      <t xml:space="preserve">
 </t>
    </r>
    <r>
      <rPr>
        <b/>
        <sz val="16"/>
        <color theme="1"/>
        <rFont val="Cambria"/>
        <family val="1"/>
      </rPr>
      <t>( Non-Scheduled Domestic Services)</t>
    </r>
  </si>
  <si>
    <t>JUN</t>
  </si>
  <si>
    <t>JULY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</si>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</sst>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.0"/>
  </numFmts>
  <fonts count="15" x14ac:knownFonts="1">
    <font>
      <sz val="10"/>
      <name val="Courier"/>
    </font>
    <font>
      <sz val="12"/>
      <name val="Arial"/>
      <family val="2"/>
    </font>
    <font>
      <sz val="10"/>
      <name val="Courier"/>
    </font>
    <font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theme="1"/>
      <name val="Cambria"/>
      <family val="1"/>
    </font>
    <font>
      <b/>
      <sz val="13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theme="1"/>
      <name val="Cambria"/>
      <family val="1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vertical="center"/>
    </xf>
    <xf numFmtId="166" fontId="1" fillId="2" borderId="0" xfId="0" applyNumberFormat="1" applyFont="1" applyFill="1"/>
    <xf numFmtId="0" fontId="6" fillId="3" borderId="1" xfId="0" applyFont="1" applyFill="1" applyBorder="1" applyAlignment="1" applyProtection="1">
      <alignment horizontal="center" vertical="center" textRotation="90" wrapText="1"/>
    </xf>
    <xf numFmtId="0" fontId="6" fillId="3" borderId="9" xfId="0" applyFont="1" applyFill="1" applyBorder="1" applyAlignment="1" applyProtection="1">
      <alignment horizontal="center" vertical="center" textRotation="90" wrapText="1"/>
    </xf>
    <xf numFmtId="0" fontId="6" fillId="3" borderId="10" xfId="0" applyFont="1" applyFill="1" applyBorder="1" applyAlignment="1" applyProtection="1">
      <alignment horizontal="center" vertical="center" textRotation="90" wrapText="1"/>
    </xf>
    <xf numFmtId="3" fontId="12" fillId="8" borderId="5" xfId="0" applyNumberFormat="1" applyFont="1" applyFill="1" applyBorder="1" applyAlignment="1" applyProtection="1">
      <alignment horizontal="center" vertical="center" wrapText="1"/>
    </xf>
    <xf numFmtId="3" fontId="12" fillId="8" borderId="0" xfId="0" applyNumberFormat="1" applyFont="1" applyFill="1" applyBorder="1" applyAlignment="1" applyProtection="1">
      <alignment horizontal="center" vertical="center" wrapText="1"/>
    </xf>
    <xf numFmtId="3" fontId="12" fillId="8" borderId="4" xfId="0" applyNumberFormat="1" applyFont="1" applyFill="1" applyBorder="1" applyAlignment="1" applyProtection="1">
      <alignment horizontal="center" vertical="center" wrapText="1"/>
    </xf>
    <xf numFmtId="166" fontId="12" fillId="8" borderId="0" xfId="0" applyNumberFormat="1" applyFont="1" applyFill="1" applyBorder="1" applyAlignment="1" applyProtection="1">
      <alignment horizontal="center" vertical="center" wrapText="1"/>
    </xf>
    <xf numFmtId="165" fontId="12" fillId="8" borderId="5" xfId="0" applyNumberFormat="1" applyFont="1" applyFill="1" applyBorder="1" applyAlignment="1" applyProtection="1">
      <alignment horizontal="center" vertical="center" wrapText="1"/>
    </xf>
    <xf numFmtId="165" fontId="12" fillId="8" borderId="4" xfId="0" applyNumberFormat="1" applyFont="1" applyFill="1" applyBorder="1" applyAlignment="1" applyProtection="1">
      <alignment horizontal="center" vertical="center" wrapText="1"/>
    </xf>
    <xf numFmtId="165" fontId="12" fillId="8" borderId="0" xfId="0" applyNumberFormat="1" applyFont="1" applyFill="1" applyBorder="1" applyAlignment="1" applyProtection="1">
      <alignment horizontal="center" vertical="center" wrapText="1"/>
    </xf>
    <xf numFmtId="3" fontId="12" fillId="2" borderId="5" xfId="0" applyNumberFormat="1" applyFont="1" applyFill="1" applyBorder="1" applyAlignment="1" applyProtection="1">
      <alignment horizontal="center" vertical="center" wrapText="1"/>
    </xf>
    <xf numFmtId="3" fontId="12" fillId="2" borderId="0" xfId="0" applyNumberFormat="1" applyFont="1" applyFill="1" applyBorder="1" applyAlignment="1" applyProtection="1">
      <alignment horizontal="center" vertical="center" wrapText="1"/>
    </xf>
    <xf numFmtId="3" fontId="12" fillId="2" borderId="4" xfId="0" applyNumberFormat="1" applyFont="1" applyFill="1" applyBorder="1" applyAlignment="1" applyProtection="1">
      <alignment horizontal="center" vertical="center" wrapText="1"/>
    </xf>
    <xf numFmtId="166" fontId="12" fillId="2" borderId="0" xfId="0" applyNumberFormat="1" applyFont="1" applyFill="1" applyBorder="1" applyAlignment="1" applyProtection="1">
      <alignment horizontal="center" vertical="center" wrapText="1"/>
    </xf>
    <xf numFmtId="165" fontId="12" fillId="2" borderId="5" xfId="0" applyNumberFormat="1" applyFont="1" applyFill="1" applyBorder="1" applyAlignment="1" applyProtection="1">
      <alignment horizontal="center" vertical="center" wrapText="1"/>
    </xf>
    <xf numFmtId="165" fontId="12" fillId="2" borderId="4" xfId="0" applyNumberFormat="1" applyFont="1" applyFill="1" applyBorder="1" applyAlignment="1" applyProtection="1">
      <alignment horizontal="center" vertical="center" wrapText="1"/>
    </xf>
    <xf numFmtId="165" fontId="12" fillId="2" borderId="0" xfId="0" applyNumberFormat="1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</xf>
    <xf numFmtId="3" fontId="11" fillId="4" borderId="11" xfId="0" applyNumberFormat="1" applyFont="1" applyFill="1" applyBorder="1" applyAlignment="1" applyProtection="1">
      <alignment horizontal="center" vertical="center" wrapText="1"/>
    </xf>
    <xf numFmtId="166" fontId="11" fillId="4" borderId="11" xfId="0" applyNumberFormat="1" applyFont="1" applyFill="1" applyBorder="1" applyAlignment="1" applyProtection="1">
      <alignment horizontal="center" vertical="center" wrapText="1"/>
    </xf>
    <xf numFmtId="165" fontId="11" fillId="4" borderId="1" xfId="0" applyNumberFormat="1" applyFont="1" applyFill="1" applyBorder="1" applyAlignment="1" applyProtection="1">
      <alignment horizontal="center" vertical="center" wrapText="1"/>
    </xf>
    <xf numFmtId="165" fontId="11" fillId="4" borderId="11" xfId="0" applyNumberFormat="1" applyFont="1" applyFill="1" applyBorder="1" applyAlignment="1" applyProtection="1">
      <alignment horizontal="center" vertical="center" wrapText="1"/>
    </xf>
    <xf numFmtId="165" fontId="11" fillId="4" borderId="7" xfId="0" applyNumberFormat="1" applyFont="1" applyFill="1" applyBorder="1" applyAlignment="1" applyProtection="1">
      <alignment horizontal="center" vertical="center" wrapText="1"/>
    </xf>
    <xf numFmtId="165" fontId="11" fillId="4" borderId="8" xfId="0" applyNumberFormat="1" applyFont="1" applyFill="1" applyBorder="1" applyAlignment="1" applyProtection="1">
      <alignment horizontal="center" vertical="center" wrapText="1"/>
    </xf>
    <xf numFmtId="0" fontId="13" fillId="5" borderId="2" xfId="0" applyFont="1" applyFill="1" applyBorder="1" applyAlignment="1" applyProtection="1">
      <alignment horizontal="center" vertical="center" textRotation="90" wrapText="1"/>
    </xf>
    <xf numFmtId="0" fontId="13" fillId="5" borderId="2" xfId="0" quotePrefix="1" applyFont="1" applyFill="1" applyBorder="1" applyAlignment="1" applyProtection="1">
      <alignment horizontal="center" vertical="center" textRotation="90" wrapText="1"/>
    </xf>
    <xf numFmtId="0" fontId="12" fillId="6" borderId="0" xfId="0" applyFont="1" applyFill="1" applyBorder="1" applyAlignment="1" applyProtection="1">
      <alignment horizontal="center" vertical="center" wrapText="1"/>
    </xf>
    <xf numFmtId="3" fontId="12" fillId="6" borderId="4" xfId="0" applyNumberFormat="1" applyFont="1" applyFill="1" applyBorder="1" applyAlignment="1" applyProtection="1">
      <alignment horizontal="center" vertical="center" wrapText="1"/>
    </xf>
    <xf numFmtId="3" fontId="12" fillId="6" borderId="0" xfId="0" applyNumberFormat="1" applyFont="1" applyFill="1" applyBorder="1" applyAlignment="1" applyProtection="1">
      <alignment horizontal="center" vertical="center" wrapText="1"/>
    </xf>
    <xf numFmtId="3" fontId="12" fillId="6" borderId="5" xfId="0" applyNumberFormat="1" applyFont="1" applyFill="1" applyBorder="1" applyAlignment="1" applyProtection="1">
      <alignment horizontal="center" vertical="center" wrapText="1"/>
    </xf>
    <xf numFmtId="166" fontId="12" fillId="6" borderId="0" xfId="0" applyNumberFormat="1" applyFont="1" applyFill="1" applyBorder="1" applyAlignment="1" applyProtection="1">
      <alignment horizontal="center" vertical="center" wrapText="1"/>
    </xf>
    <xf numFmtId="165" fontId="12" fillId="6" borderId="5" xfId="0" applyNumberFormat="1" applyFont="1" applyFill="1" applyBorder="1" applyAlignment="1" applyProtection="1">
      <alignment horizontal="center" vertical="center" wrapText="1"/>
    </xf>
    <xf numFmtId="165" fontId="12" fillId="6" borderId="4" xfId="0" applyNumberFormat="1" applyFont="1" applyFill="1" applyBorder="1" applyAlignment="1" applyProtection="1">
      <alignment horizontal="center" vertical="center" wrapText="1"/>
    </xf>
    <xf numFmtId="165" fontId="12" fillId="6" borderId="0" xfId="0" applyNumberFormat="1" applyFont="1" applyFill="1" applyBorder="1" applyAlignment="1" applyProtection="1">
      <alignment horizontal="center" vertical="center" wrapText="1"/>
    </xf>
    <xf numFmtId="0" fontId="12" fillId="2" borderId="0" xfId="0" applyFont="1" applyFill="1" applyBorder="1" applyAlignment="1" applyProtection="1">
      <alignment horizontal="center" vertical="center" wrapText="1"/>
    </xf>
    <xf numFmtId="3" fontId="14" fillId="2" borderId="5" xfId="0" applyNumberFormat="1" applyFont="1" applyFill="1" applyBorder="1" applyAlignment="1" applyProtection="1">
      <alignment horizontal="center" vertical="center" wrapText="1"/>
    </xf>
    <xf numFmtId="0" fontId="13" fillId="7" borderId="9" xfId="0" applyFont="1" applyFill="1" applyBorder="1" applyAlignment="1" applyProtection="1">
      <alignment horizontal="center" vertical="center" wrapText="1"/>
    </xf>
    <xf numFmtId="3" fontId="12" fillId="7" borderId="8" xfId="0" applyNumberFormat="1" applyFont="1" applyFill="1" applyBorder="1" applyAlignment="1" applyProtection="1">
      <alignment horizontal="center" vertical="center" wrapText="1"/>
    </xf>
    <xf numFmtId="166" fontId="12" fillId="7" borderId="8" xfId="0" applyNumberFormat="1" applyFont="1" applyFill="1" applyBorder="1" applyAlignment="1" applyProtection="1">
      <alignment horizontal="center" vertical="center" wrapText="1"/>
    </xf>
    <xf numFmtId="165" fontId="12" fillId="7" borderId="8" xfId="0" applyNumberFormat="1" applyFont="1" applyFill="1" applyBorder="1" applyAlignment="1" applyProtection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 wrapText="1"/>
    </xf>
    <xf numFmtId="3" fontId="7" fillId="8" borderId="6" xfId="0" applyNumberFormat="1" applyFont="1" applyFill="1" applyBorder="1" applyAlignment="1" applyProtection="1">
      <alignment horizontal="center" vertical="center" wrapText="1"/>
    </xf>
    <xf numFmtId="3" fontId="11" fillId="8" borderId="6" xfId="0" applyNumberFormat="1" applyFont="1" applyFill="1" applyBorder="1" applyAlignment="1" applyProtection="1">
      <alignment horizontal="center" vertical="center" wrapText="1"/>
    </xf>
    <xf numFmtId="3" fontId="11" fillId="8" borderId="0" xfId="0" applyNumberFormat="1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 applyProtection="1">
      <alignment horizontal="center" vertical="center" textRotation="90" wrapText="1"/>
    </xf>
    <xf numFmtId="0" fontId="13" fillId="5" borderId="2" xfId="0" applyFont="1" applyFill="1" applyBorder="1" applyAlignment="1" applyProtection="1">
      <alignment horizontal="center" vertical="center" textRotation="90" wrapText="1"/>
    </xf>
    <xf numFmtId="0" fontId="6" fillId="3" borderId="2" xfId="0" applyFont="1" applyFill="1" applyBorder="1" applyAlignment="1" applyProtection="1">
      <alignment horizontal="center" vertical="center" textRotation="90" wrapText="1"/>
    </xf>
    <xf numFmtId="0" fontId="6" fillId="3" borderId="8" xfId="0" applyFont="1" applyFill="1" applyBorder="1" applyAlignment="1" applyProtection="1">
      <alignment horizontal="center" vertical="center" textRotation="90" wrapText="1"/>
    </xf>
    <xf numFmtId="3" fontId="9" fillId="6" borderId="12" xfId="0" applyNumberFormat="1" applyFont="1" applyFill="1" applyBorder="1" applyAlignment="1" applyProtection="1">
      <alignment horizontal="center" vertical="center" wrapText="1"/>
    </xf>
    <xf numFmtId="3" fontId="12" fillId="6" borderId="12" xfId="0" applyNumberFormat="1" applyFont="1" applyFill="1" applyBorder="1" applyAlignment="1" applyProtection="1">
      <alignment horizontal="center" vertical="center" wrapText="1"/>
    </xf>
    <xf numFmtId="0" fontId="13" fillId="2" borderId="8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left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0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166" fontId="6" fillId="3" borderId="2" xfId="0" applyNumberFormat="1" applyFont="1" applyFill="1" applyBorder="1" applyAlignment="1" applyProtection="1">
      <alignment horizontal="center" vertical="center" textRotation="90" wrapText="1"/>
    </xf>
    <xf numFmtId="166" fontId="6" fillId="3" borderId="8" xfId="0" applyNumberFormat="1" applyFont="1" applyFill="1" applyBorder="1" applyAlignment="1" applyProtection="1">
      <alignment horizontal="center" vertical="center" textRotation="90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</xf>
    <xf numFmtId="166" fontId="13" fillId="5" borderId="1" xfId="0" applyNumberFormat="1" applyFont="1" applyFill="1" applyBorder="1" applyAlignment="1" applyProtection="1">
      <alignment horizontal="center" vertical="center" textRotation="90" wrapText="1"/>
    </xf>
    <xf numFmtId="166" fontId="13" fillId="5" borderId="2" xfId="0" applyNumberFormat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2" transitionEvaluation="1" transitionEntry="1" codeName="Sheet15">
    <pageSetUpPr fitToPage="1"/>
  </sheetPr>
  <dimension ref="A1:AH483"/>
  <sheetViews>
    <sheetView showGridLines="0" tabSelected="1" view="pageBreakPreview" topLeftCell="A22" zoomScale="85" zoomScaleNormal="100" zoomScaleSheetLayoutView="85" workbookViewId="0">
      <selection activeCell="H29" sqref="H29"/>
    </sheetView>
  </sheetViews>
  <sheetFormatPr defaultColWidth="9.625" defaultRowHeight="15" x14ac:dyDescent="0.2"/>
  <cols>
    <col min="1" max="1" width="8.875" style="1" customWidth="1"/>
    <col min="2" max="2" width="9.375" style="1" customWidth="1"/>
    <col min="3" max="3" width="10.375" style="1" customWidth="1"/>
    <col min="4" max="4" width="10" style="1" customWidth="1"/>
    <col min="5" max="5" width="11.75" style="1" customWidth="1"/>
    <col min="6" max="6" width="12.875" style="7" customWidth="1"/>
    <col min="7" max="7" width="13.125" style="7" customWidth="1"/>
    <col min="8" max="8" width="5.25" style="1" customWidth="1"/>
    <col min="9" max="9" width="10.375" style="1" customWidth="1"/>
    <col min="10" max="10" width="10.625" style="1" customWidth="1"/>
    <col min="11" max="11" width="10.25" style="1" customWidth="1"/>
    <col min="12" max="12" width="12.5" style="1" customWidth="1"/>
    <col min="13" max="13" width="12.25" style="1" customWidth="1"/>
    <col min="14" max="14" width="9.125" style="1" customWidth="1"/>
    <col min="15" max="15" width="12.25" style="1" customWidth="1"/>
    <col min="16" max="16" width="12.5" style="1" customWidth="1"/>
    <col min="17" max="17" width="5.75" style="1" customWidth="1"/>
    <col min="18" max="16384" width="9.625" style="1"/>
  </cols>
  <sheetData>
    <row r="1" spans="1:34" s="4" customFormat="1" ht="45" customHeight="1" x14ac:dyDescent="0.25">
      <c r="A1" s="50" t="s">
        <v>34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2"/>
      <c r="Q1" s="52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34" s="4" customFormat="1" ht="33" customHeight="1" x14ac:dyDescent="0.25">
      <c r="A2" s="65" t="s">
        <v>8</v>
      </c>
      <c r="B2" s="62" t="s">
        <v>1</v>
      </c>
      <c r="C2" s="63"/>
      <c r="D2" s="64"/>
      <c r="E2" s="56" t="s">
        <v>19</v>
      </c>
      <c r="F2" s="67" t="s">
        <v>20</v>
      </c>
      <c r="G2" s="67" t="s">
        <v>21</v>
      </c>
      <c r="H2" s="56" t="s">
        <v>28</v>
      </c>
      <c r="I2" s="62" t="s">
        <v>2</v>
      </c>
      <c r="J2" s="63"/>
      <c r="K2" s="64"/>
      <c r="L2" s="69" t="s">
        <v>32</v>
      </c>
      <c r="M2" s="63"/>
      <c r="N2" s="63"/>
      <c r="O2" s="64"/>
      <c r="P2" s="56" t="s">
        <v>27</v>
      </c>
      <c r="Q2" s="56" t="s">
        <v>29</v>
      </c>
    </row>
    <row r="3" spans="1:34" s="4" customFormat="1" ht="168.75" customHeight="1" x14ac:dyDescent="0.25">
      <c r="A3" s="66"/>
      <c r="B3" s="8" t="s">
        <v>16</v>
      </c>
      <c r="C3" s="8" t="s">
        <v>17</v>
      </c>
      <c r="D3" s="8" t="s">
        <v>18</v>
      </c>
      <c r="E3" s="57"/>
      <c r="F3" s="68"/>
      <c r="G3" s="68"/>
      <c r="H3" s="57"/>
      <c r="I3" s="8" t="s">
        <v>22</v>
      </c>
      <c r="J3" s="8" t="s">
        <v>23</v>
      </c>
      <c r="K3" s="9" t="s">
        <v>24</v>
      </c>
      <c r="L3" s="8" t="s">
        <v>30</v>
      </c>
      <c r="M3" s="10" t="s">
        <v>25</v>
      </c>
      <c r="N3" s="8" t="s">
        <v>26</v>
      </c>
      <c r="O3" s="8" t="s">
        <v>31</v>
      </c>
      <c r="P3" s="57"/>
      <c r="Q3" s="57"/>
    </row>
    <row r="4" spans="1:34" s="5" customFormat="1" ht="23.25" customHeight="1" x14ac:dyDescent="0.25">
      <c r="A4" s="11" t="s">
        <v>13</v>
      </c>
      <c r="B4" s="12">
        <v>95487</v>
      </c>
      <c r="C4" s="12">
        <v>167217.91666666669</v>
      </c>
      <c r="D4" s="11">
        <v>87578.653999999995</v>
      </c>
      <c r="E4" s="13">
        <v>12747591</v>
      </c>
      <c r="F4" s="14">
        <v>12342405.012999998</v>
      </c>
      <c r="G4" s="14">
        <v>14358228.317000002</v>
      </c>
      <c r="H4" s="15">
        <f>F4/G4*100</f>
        <v>85.960501118280121</v>
      </c>
      <c r="I4" s="16">
        <v>58354.216139999997</v>
      </c>
      <c r="J4" s="17">
        <v>2610.1654999999987</v>
      </c>
      <c r="K4" s="17">
        <f>SUM(I4:J4)</f>
        <v>60964.381639999992</v>
      </c>
      <c r="L4" s="16">
        <v>1103675.2467440013</v>
      </c>
      <c r="M4" s="17">
        <v>64658.498077700096</v>
      </c>
      <c r="N4" s="17">
        <v>2609.3854749999991</v>
      </c>
      <c r="O4" s="15">
        <f>SUM(L4:N4)</f>
        <v>1170943.1302967013</v>
      </c>
      <c r="P4" s="16">
        <v>1879823.0671297004</v>
      </c>
      <c r="Q4" s="15">
        <f>O4/P4*100</f>
        <v>62.290071378079901</v>
      </c>
    </row>
    <row r="5" spans="1:34" s="5" customFormat="1" ht="23.25" customHeight="1" x14ac:dyDescent="0.25">
      <c r="A5" s="18" t="s">
        <v>12</v>
      </c>
      <c r="B5" s="19">
        <v>90959</v>
      </c>
      <c r="C5" s="19">
        <v>158679.22000000003</v>
      </c>
      <c r="D5" s="18">
        <v>82551.620999999999</v>
      </c>
      <c r="E5" s="20">
        <v>12331165</v>
      </c>
      <c r="F5" s="21">
        <v>11864098.130999999</v>
      </c>
      <c r="G5" s="21">
        <v>13521335.061999999</v>
      </c>
      <c r="H5" s="22">
        <f t="shared" ref="H5:H15" si="0">F5/G5*100</f>
        <v>87.743540682920766</v>
      </c>
      <c r="I5" s="23">
        <v>56128.235860000008</v>
      </c>
      <c r="J5" s="24">
        <v>2533.7176000000004</v>
      </c>
      <c r="K5" s="24">
        <f>SUM(I5:J5)</f>
        <v>58661.953460000012</v>
      </c>
      <c r="L5" s="23">
        <v>1061376.568004</v>
      </c>
      <c r="M5" s="24">
        <v>62661.626244999999</v>
      </c>
      <c r="N5" s="24">
        <v>2526.2893789999998</v>
      </c>
      <c r="O5" s="22">
        <f>SUM(L5:N5)</f>
        <v>1126564.4836279999</v>
      </c>
      <c r="P5" s="23">
        <v>1732838.242260599</v>
      </c>
      <c r="Q5" s="22">
        <f>O5/P5*100</f>
        <v>65.012674360090529</v>
      </c>
    </row>
    <row r="6" spans="1:34" s="5" customFormat="1" ht="23.25" customHeight="1" x14ac:dyDescent="0.25">
      <c r="A6" s="11" t="s">
        <v>7</v>
      </c>
      <c r="B6" s="12">
        <v>69310</v>
      </c>
      <c r="C6" s="12">
        <v>119352.59666666666</v>
      </c>
      <c r="D6" s="11">
        <v>63148.052999999993</v>
      </c>
      <c r="E6" s="13">
        <v>7735665</v>
      </c>
      <c r="F6" s="14">
        <v>7554543.3370000003</v>
      </c>
      <c r="G6" s="14">
        <v>10335611.311999999</v>
      </c>
      <c r="H6" s="15">
        <f t="shared" si="0"/>
        <v>73.092370726334451</v>
      </c>
      <c r="I6" s="16">
        <v>42008.997289999999</v>
      </c>
      <c r="J6" s="17">
        <v>438.35980000000001</v>
      </c>
      <c r="K6" s="17">
        <f>SUM(I6:J6)</f>
        <v>42447.357089999998</v>
      </c>
      <c r="L6" s="16">
        <v>672529.59240399988</v>
      </c>
      <c r="M6" s="17">
        <v>45388.183426400006</v>
      </c>
      <c r="N6" s="17">
        <v>417.64549880000015</v>
      </c>
      <c r="O6" s="15">
        <f>SUM(L6:N6)</f>
        <v>718335.42132919992</v>
      </c>
      <c r="P6" s="16">
        <v>1294166.8064148</v>
      </c>
      <c r="Q6" s="15">
        <f>O6/P6*100</f>
        <v>55.505628622881133</v>
      </c>
    </row>
    <row r="7" spans="1:34" s="5" customFormat="1" ht="23.25" customHeight="1" x14ac:dyDescent="0.25">
      <c r="A7" s="18" t="s">
        <v>3</v>
      </c>
      <c r="B7" s="19">
        <v>188</v>
      </c>
      <c r="C7" s="19">
        <v>261.25</v>
      </c>
      <c r="D7" s="18">
        <v>202</v>
      </c>
      <c r="E7" s="20"/>
      <c r="F7" s="21"/>
      <c r="G7" s="21"/>
      <c r="H7" s="22"/>
      <c r="I7" s="23">
        <v>3341.0099999999993</v>
      </c>
      <c r="J7" s="24"/>
      <c r="K7" s="24">
        <f t="shared" ref="K7:K15" si="1">SUM(I7:J7)</f>
        <v>3341.0099999999993</v>
      </c>
      <c r="L7" s="23"/>
      <c r="M7" s="24">
        <v>3874</v>
      </c>
      <c r="N7" s="24"/>
      <c r="O7" s="22">
        <f t="shared" ref="O7:O15" si="2">SUM(L7:N7)</f>
        <v>3874</v>
      </c>
      <c r="P7" s="23">
        <v>6264</v>
      </c>
      <c r="Q7" s="22">
        <f t="shared" ref="Q7:Q15" si="3">O7/P7*100</f>
        <v>61.845466155810982</v>
      </c>
    </row>
    <row r="8" spans="1:34" s="5" customFormat="1" ht="23.25" customHeight="1" x14ac:dyDescent="0.25">
      <c r="A8" s="11" t="s">
        <v>4</v>
      </c>
      <c r="B8" s="12">
        <v>3813</v>
      </c>
      <c r="C8" s="12">
        <v>6210.6566666666668</v>
      </c>
      <c r="D8" s="11">
        <v>3514.5920000000001</v>
      </c>
      <c r="E8" s="13">
        <v>278417</v>
      </c>
      <c r="F8" s="14">
        <v>276192.78599999996</v>
      </c>
      <c r="G8" s="14">
        <v>543695.40099999995</v>
      </c>
      <c r="H8" s="15">
        <f t="shared" si="0"/>
        <v>50.799176430775063</v>
      </c>
      <c r="I8" s="16">
        <v>11358.148850000001</v>
      </c>
      <c r="J8" s="17">
        <v>215.92920000000001</v>
      </c>
      <c r="K8" s="17">
        <f t="shared" si="1"/>
        <v>11574.078050000002</v>
      </c>
      <c r="L8" s="16">
        <v>24009.968542999995</v>
      </c>
      <c r="M8" s="17">
        <v>9347.7397399999991</v>
      </c>
      <c r="N8" s="17">
        <v>189.60281080000001</v>
      </c>
      <c r="O8" s="15">
        <f t="shared" si="2"/>
        <v>33547.311093799995</v>
      </c>
      <c r="P8" s="16">
        <v>70086.659911700001</v>
      </c>
      <c r="Q8" s="15">
        <f t="shared" si="3"/>
        <v>47.865472739127831</v>
      </c>
    </row>
    <row r="9" spans="1:34" s="5" customFormat="1" ht="23.25" customHeight="1" x14ac:dyDescent="0.25">
      <c r="A9" s="18" t="s">
        <v>36</v>
      </c>
      <c r="B9" s="19">
        <v>22367</v>
      </c>
      <c r="C9" s="19">
        <v>36004.400000000001</v>
      </c>
      <c r="D9" s="18">
        <v>20230.694</v>
      </c>
      <c r="E9" s="20">
        <v>1979472</v>
      </c>
      <c r="F9" s="21">
        <v>1999995.1359999999</v>
      </c>
      <c r="G9" s="21">
        <v>3362585.3840000001</v>
      </c>
      <c r="H9" s="22">
        <f t="shared" si="0"/>
        <v>59.477898926119877</v>
      </c>
      <c r="I9" s="23">
        <v>29829.39947808073</v>
      </c>
      <c r="J9" s="24">
        <v>1569.7175500000008</v>
      </c>
      <c r="K9" s="24">
        <f t="shared" si="1"/>
        <v>31399.117028080731</v>
      </c>
      <c r="L9" s="23">
        <v>174106.00100100003</v>
      </c>
      <c r="M9" s="24">
        <v>29861.463897000001</v>
      </c>
      <c r="N9" s="24">
        <v>1404.1</v>
      </c>
      <c r="O9" s="22">
        <f t="shared" si="2"/>
        <v>205371.56489800004</v>
      </c>
      <c r="P9" s="23">
        <v>385235.21488999994</v>
      </c>
      <c r="Q9" s="22">
        <f t="shared" si="3"/>
        <v>53.310693560722854</v>
      </c>
    </row>
    <row r="10" spans="1:34" s="5" customFormat="1" ht="23.25" customHeight="1" x14ac:dyDescent="0.25">
      <c r="A10" s="11" t="s">
        <v>37</v>
      </c>
      <c r="B10" s="12">
        <v>24770</v>
      </c>
      <c r="C10" s="12">
        <v>39807.349999999991</v>
      </c>
      <c r="D10" s="11">
        <v>22909.716</v>
      </c>
      <c r="E10" s="13">
        <v>2102854</v>
      </c>
      <c r="F10" s="14">
        <v>2084440.595</v>
      </c>
      <c r="G10" s="14">
        <v>3596291.3719999995</v>
      </c>
      <c r="H10" s="15">
        <f t="shared" si="0"/>
        <v>57.960837412369713</v>
      </c>
      <c r="I10" s="16">
        <v>30812.517690000004</v>
      </c>
      <c r="J10" s="17">
        <v>1916.1734999999994</v>
      </c>
      <c r="K10" s="17">
        <f t="shared" si="1"/>
        <v>32728.691190000005</v>
      </c>
      <c r="L10" s="16">
        <v>181871.13979400002</v>
      </c>
      <c r="M10" s="17">
        <v>33967.243151350005</v>
      </c>
      <c r="N10" s="17">
        <v>1698.0398748300001</v>
      </c>
      <c r="O10" s="15">
        <f t="shared" si="2"/>
        <v>217536.42282018001</v>
      </c>
      <c r="P10" s="16">
        <v>411759.26621340011</v>
      </c>
      <c r="Q10" s="15">
        <f t="shared" si="3"/>
        <v>52.83097204361119</v>
      </c>
    </row>
    <row r="11" spans="1:34" s="5" customFormat="1" ht="23.25" customHeight="1" x14ac:dyDescent="0.25">
      <c r="A11" s="18" t="s">
        <v>38</v>
      </c>
      <c r="B11" s="19">
        <v>28834</v>
      </c>
      <c r="C11" s="19">
        <v>48992.91333333333</v>
      </c>
      <c r="D11" s="18">
        <v>26999.941000000003</v>
      </c>
      <c r="E11" s="20">
        <v>2826148</v>
      </c>
      <c r="F11" s="21">
        <v>2818761.8140000002</v>
      </c>
      <c r="G11" s="21">
        <v>4290205.4989999998</v>
      </c>
      <c r="H11" s="22">
        <f t="shared" si="0"/>
        <v>65.702256329143736</v>
      </c>
      <c r="I11" s="23">
        <v>33729.96661000001</v>
      </c>
      <c r="J11" s="24">
        <v>2087.52909</v>
      </c>
      <c r="K11" s="24">
        <f t="shared" si="1"/>
        <v>35817.495700000014</v>
      </c>
      <c r="L11" s="23">
        <v>246516.91819800003</v>
      </c>
      <c r="M11" s="24">
        <v>34933.957445290005</v>
      </c>
      <c r="N11" s="24">
        <v>1788.73788889</v>
      </c>
      <c r="O11" s="22">
        <f t="shared" si="2"/>
        <v>283239.61353218008</v>
      </c>
      <c r="P11" s="23">
        <v>357243.75109000003</v>
      </c>
      <c r="Q11" s="22">
        <f t="shared" si="3"/>
        <v>79.28469362108558</v>
      </c>
    </row>
    <row r="12" spans="1:34" s="5" customFormat="1" ht="23.25" customHeight="1" x14ac:dyDescent="0.25">
      <c r="A12" s="11" t="s">
        <v>39</v>
      </c>
      <c r="B12" s="12">
        <v>39628</v>
      </c>
      <c r="C12" s="12">
        <v>69573.956666666665</v>
      </c>
      <c r="D12" s="11">
        <v>38357.758000000002</v>
      </c>
      <c r="E12" s="13">
        <v>3939687</v>
      </c>
      <c r="F12" s="14">
        <v>4004630.932</v>
      </c>
      <c r="G12" s="14">
        <v>6224370.9130000006</v>
      </c>
      <c r="H12" s="15">
        <f t="shared" si="0"/>
        <v>64.337922465964709</v>
      </c>
      <c r="I12" s="16">
        <v>42863.573790000002</v>
      </c>
      <c r="J12" s="17">
        <v>2476.1522200000018</v>
      </c>
      <c r="K12" s="17">
        <f t="shared" si="1"/>
        <v>45339.726010000006</v>
      </c>
      <c r="L12" s="16">
        <v>350834.37968399993</v>
      </c>
      <c r="M12" s="17">
        <v>49544.76314059001</v>
      </c>
      <c r="N12" s="17">
        <v>2071.92884792</v>
      </c>
      <c r="O12" s="15">
        <f>SUM(L12:N12)</f>
        <v>402451.07167250989</v>
      </c>
      <c r="P12" s="16">
        <v>671363.98569199897</v>
      </c>
      <c r="Q12" s="15">
        <f t="shared" si="3"/>
        <v>59.945287541405591</v>
      </c>
    </row>
    <row r="13" spans="1:34" s="5" customFormat="1" ht="23.25" customHeight="1" x14ac:dyDescent="0.25">
      <c r="A13" s="18" t="s">
        <v>40</v>
      </c>
      <c r="B13" s="19">
        <v>49150</v>
      </c>
      <c r="C13" s="19">
        <v>86314.683333333334</v>
      </c>
      <c r="D13" s="18">
        <v>48124.800999999999</v>
      </c>
      <c r="E13" s="20">
        <v>5268696</v>
      </c>
      <c r="F13" s="21">
        <v>5262536.2989999987</v>
      </c>
      <c r="G13" s="21">
        <v>7867784.8540000021</v>
      </c>
      <c r="H13" s="22">
        <f t="shared" si="0"/>
        <v>66.887140366128733</v>
      </c>
      <c r="I13" s="23">
        <v>48879.640440000003</v>
      </c>
      <c r="J13" s="24">
        <v>2736.9555700000001</v>
      </c>
      <c r="K13" s="24">
        <f t="shared" si="1"/>
        <v>51616.596010000001</v>
      </c>
      <c r="L13" s="23">
        <v>461228.1485184402</v>
      </c>
      <c r="M13" s="24">
        <v>56957.85331934</v>
      </c>
      <c r="N13" s="24">
        <v>2400.0458492499997</v>
      </c>
      <c r="O13" s="22">
        <f t="shared" si="2"/>
        <v>520586.04768703016</v>
      </c>
      <c r="P13" s="23">
        <v>830007.55172199989</v>
      </c>
      <c r="Q13" s="22">
        <f t="shared" si="3"/>
        <v>62.720639903453993</v>
      </c>
    </row>
    <row r="14" spans="1:34" s="5" customFormat="1" ht="23.25" customHeight="1" x14ac:dyDescent="0.25">
      <c r="A14" s="11" t="s">
        <v>5</v>
      </c>
      <c r="B14" s="12">
        <v>54132</v>
      </c>
      <c r="C14" s="12">
        <v>95387.203333333338</v>
      </c>
      <c r="D14" s="11">
        <v>52151.589</v>
      </c>
      <c r="E14" s="13">
        <v>6342589</v>
      </c>
      <c r="F14" s="14">
        <v>6310968.1740000015</v>
      </c>
      <c r="G14" s="14">
        <v>8687053.3940000013</v>
      </c>
      <c r="H14" s="15">
        <f t="shared" si="0"/>
        <v>72.647972652716504</v>
      </c>
      <c r="I14" s="16">
        <v>46080.013879999991</v>
      </c>
      <c r="J14" s="17">
        <v>2522.5758999999975</v>
      </c>
      <c r="K14" s="17">
        <f t="shared" si="1"/>
        <v>48602.589779999988</v>
      </c>
      <c r="L14" s="16">
        <v>555671.57386300014</v>
      </c>
      <c r="M14" s="17">
        <v>53283.455714699987</v>
      </c>
      <c r="N14" s="17">
        <v>2328.3408125999999</v>
      </c>
      <c r="O14" s="15">
        <f t="shared" si="2"/>
        <v>611283.37039030017</v>
      </c>
      <c r="P14" s="16">
        <v>944701.44649100013</v>
      </c>
      <c r="Q14" s="15">
        <f t="shared" si="3"/>
        <v>64.706513646279646</v>
      </c>
    </row>
    <row r="15" spans="1:34" s="5" customFormat="1" ht="23.25" customHeight="1" x14ac:dyDescent="0.25">
      <c r="A15" s="18" t="s">
        <v>6</v>
      </c>
      <c r="B15" s="19">
        <v>64002</v>
      </c>
      <c r="C15" s="19">
        <v>113831.06266666665</v>
      </c>
      <c r="D15" s="18">
        <v>61151.400999999998</v>
      </c>
      <c r="E15" s="20">
        <v>7306064</v>
      </c>
      <c r="F15" s="21">
        <v>7220783.4610000001</v>
      </c>
      <c r="G15" s="21">
        <v>10272902.885999998</v>
      </c>
      <c r="H15" s="22">
        <f t="shared" si="0"/>
        <v>70.289610844472662</v>
      </c>
      <c r="I15" s="23">
        <v>49273.037579788666</v>
      </c>
      <c r="J15" s="24">
        <v>3105.9009899999965</v>
      </c>
      <c r="K15" s="24">
        <f t="shared" si="1"/>
        <v>52378.938569788661</v>
      </c>
      <c r="L15" s="23">
        <v>630370.72059300006</v>
      </c>
      <c r="M15" s="24">
        <v>56822.049745510012</v>
      </c>
      <c r="N15" s="24">
        <v>2975.4825154299901</v>
      </c>
      <c r="O15" s="22">
        <f t="shared" si="2"/>
        <v>690168.25285394001</v>
      </c>
      <c r="P15" s="23">
        <v>1085015.7739050011</v>
      </c>
      <c r="Q15" s="22">
        <f t="shared" si="3"/>
        <v>63.609052462896997</v>
      </c>
    </row>
    <row r="16" spans="1:34" s="5" customFormat="1" ht="23.25" customHeight="1" x14ac:dyDescent="0.25">
      <c r="A16" s="25" t="s">
        <v>15</v>
      </c>
      <c r="B16" s="26">
        <f t="shared" ref="B16:G16" si="4">SUM(B4:B15)</f>
        <v>542640</v>
      </c>
      <c r="C16" s="26">
        <f t="shared" si="4"/>
        <v>941633.20933333354</v>
      </c>
      <c r="D16" s="26">
        <f t="shared" si="4"/>
        <v>506920.81999999995</v>
      </c>
      <c r="E16" s="26">
        <f t="shared" si="4"/>
        <v>62858348</v>
      </c>
      <c r="F16" s="27">
        <f t="shared" si="4"/>
        <v>61739355.678000003</v>
      </c>
      <c r="G16" s="27">
        <f t="shared" si="4"/>
        <v>83060064.394000009</v>
      </c>
      <c r="H16" s="28">
        <f t="shared" ref="H16" si="5">(F16/G16)*100</f>
        <v>74.330974973888715</v>
      </c>
      <c r="I16" s="29">
        <f t="shared" ref="I16:P16" si="6">SUM(I4:I15)</f>
        <v>452658.7576078694</v>
      </c>
      <c r="J16" s="29">
        <f t="shared" si="6"/>
        <v>22213.176919999991</v>
      </c>
      <c r="K16" s="29">
        <f t="shared" si="6"/>
        <v>474871.93452786939</v>
      </c>
      <c r="L16" s="28">
        <f t="shared" si="6"/>
        <v>5462190.257346442</v>
      </c>
      <c r="M16" s="30">
        <f t="shared" si="6"/>
        <v>501300.83390288008</v>
      </c>
      <c r="N16" s="29">
        <f t="shared" si="6"/>
        <v>20409.598952519991</v>
      </c>
      <c r="O16" s="31">
        <f t="shared" si="6"/>
        <v>5983900.6902018422</v>
      </c>
      <c r="P16" s="28">
        <f t="shared" si="6"/>
        <v>9668505.7657201998</v>
      </c>
      <c r="Q16" s="28">
        <f t="shared" ref="Q16" si="7">O16/P16*100</f>
        <v>61.890646137046659</v>
      </c>
    </row>
    <row r="17" spans="1:34" s="6" customFormat="1" ht="18" x14ac:dyDescent="0.15">
      <c r="A17" s="53" t="s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60"/>
      <c r="Q17" s="60"/>
    </row>
    <row r="18" spans="1:34" s="6" customFormat="1" ht="18" x14ac:dyDescent="0.15">
      <c r="A18" s="53" t="s">
        <v>11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</row>
    <row r="19" spans="1:34" s="4" customFormat="1" ht="23.25" customHeight="1" x14ac:dyDescent="0.25">
      <c r="A19" s="61" t="s">
        <v>10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spans="1:34" s="4" customFormat="1" ht="43.5" customHeight="1" x14ac:dyDescent="0.25">
      <c r="A20" s="58" t="s">
        <v>35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4" s="4" customFormat="1" ht="33" customHeight="1" x14ac:dyDescent="0.25">
      <c r="A21" s="70" t="s">
        <v>8</v>
      </c>
      <c r="B21" s="70" t="s">
        <v>1</v>
      </c>
      <c r="C21" s="70"/>
      <c r="D21" s="70"/>
      <c r="E21" s="54" t="s">
        <v>19</v>
      </c>
      <c r="F21" s="71" t="s">
        <v>20</v>
      </c>
      <c r="G21" s="71" t="s">
        <v>21</v>
      </c>
      <c r="H21" s="54" t="s">
        <v>28</v>
      </c>
      <c r="I21" s="70" t="s">
        <v>2</v>
      </c>
      <c r="J21" s="70"/>
      <c r="K21" s="70"/>
      <c r="L21" s="70" t="s">
        <v>9</v>
      </c>
      <c r="M21" s="70"/>
      <c r="N21" s="70"/>
      <c r="O21" s="70"/>
      <c r="P21" s="54" t="s">
        <v>27</v>
      </c>
      <c r="Q21" s="54" t="s">
        <v>29</v>
      </c>
    </row>
    <row r="22" spans="1:34" s="4" customFormat="1" ht="177" customHeight="1" x14ac:dyDescent="0.25">
      <c r="A22" s="70"/>
      <c r="B22" s="32" t="s">
        <v>16</v>
      </c>
      <c r="C22" s="32" t="s">
        <v>17</v>
      </c>
      <c r="D22" s="32" t="s">
        <v>18</v>
      </c>
      <c r="E22" s="55"/>
      <c r="F22" s="72"/>
      <c r="G22" s="72"/>
      <c r="H22" s="55"/>
      <c r="I22" s="32" t="s">
        <v>22</v>
      </c>
      <c r="J22" s="33" t="s">
        <v>23</v>
      </c>
      <c r="K22" s="32" t="s">
        <v>24</v>
      </c>
      <c r="L22" s="32" t="s">
        <v>30</v>
      </c>
      <c r="M22" s="32" t="s">
        <v>25</v>
      </c>
      <c r="N22" s="32" t="s">
        <v>26</v>
      </c>
      <c r="O22" s="32" t="s">
        <v>31</v>
      </c>
      <c r="P22" s="55"/>
      <c r="Q22" s="55"/>
    </row>
    <row r="23" spans="1:34" s="4" customFormat="1" ht="24" customHeight="1" x14ac:dyDescent="0.25">
      <c r="A23" s="34" t="s">
        <v>13</v>
      </c>
      <c r="B23" s="35">
        <v>353</v>
      </c>
      <c r="C23" s="36">
        <v>518.19000000000005</v>
      </c>
      <c r="D23" s="37">
        <v>262.49</v>
      </c>
      <c r="E23" s="35">
        <v>41688</v>
      </c>
      <c r="F23" s="38">
        <v>24439.897999999997</v>
      </c>
      <c r="G23" s="38">
        <v>30011.794000000002</v>
      </c>
      <c r="H23" s="39">
        <f>F23/G23*100</f>
        <v>81.434312124093594</v>
      </c>
      <c r="I23" s="40">
        <v>388.42</v>
      </c>
      <c r="J23" s="41">
        <v>12.560999999999998</v>
      </c>
      <c r="K23" s="39">
        <f>SUM(I23:J23)</f>
        <v>400.98099999999999</v>
      </c>
      <c r="L23" s="40">
        <v>1890.1073099999999</v>
      </c>
      <c r="M23" s="41">
        <v>379.34790299999997</v>
      </c>
      <c r="N23" s="41">
        <v>6.191999999999994</v>
      </c>
      <c r="O23" s="39">
        <f>SUM(L23:N23)</f>
        <v>2275.6472129999997</v>
      </c>
      <c r="P23" s="40">
        <v>3625.1371889999923</v>
      </c>
      <c r="Q23" s="39">
        <f>O23/P23*100</f>
        <v>62.774099140445095</v>
      </c>
    </row>
    <row r="24" spans="1:34" s="4" customFormat="1" ht="24" customHeight="1" x14ac:dyDescent="0.25">
      <c r="A24" s="42" t="s">
        <v>12</v>
      </c>
      <c r="B24" s="20">
        <v>350</v>
      </c>
      <c r="C24" s="19">
        <v>499.17999999999984</v>
      </c>
      <c r="D24" s="43">
        <v>249.48099999999999</v>
      </c>
      <c r="E24" s="20">
        <v>42847</v>
      </c>
      <c r="F24" s="21">
        <v>24204.814000000002</v>
      </c>
      <c r="G24" s="21">
        <v>30469.047000000002</v>
      </c>
      <c r="H24" s="22">
        <f>F24/G24*100</f>
        <v>79.440666457339475</v>
      </c>
      <c r="I24" s="23">
        <v>5.0039999999999996</v>
      </c>
      <c r="J24" s="24">
        <v>12.967000000000001</v>
      </c>
      <c r="K24" s="22">
        <f>SUM(I24:J24)</f>
        <v>17.971</v>
      </c>
      <c r="L24" s="23">
        <v>1871.2923899999998</v>
      </c>
      <c r="M24" s="24">
        <v>6.3548740000000006</v>
      </c>
      <c r="N24" s="24">
        <v>4.8310000000000004</v>
      </c>
      <c r="O24" s="22">
        <f>SUM(L24:N24)</f>
        <v>1882.4782639999999</v>
      </c>
      <c r="P24" s="23">
        <v>3068.4532189999854</v>
      </c>
      <c r="Q24" s="22">
        <f>O24/P24*100</f>
        <v>61.349420364098073</v>
      </c>
    </row>
    <row r="25" spans="1:34" s="4" customFormat="1" ht="24" customHeight="1" x14ac:dyDescent="0.25">
      <c r="A25" s="34" t="s">
        <v>7</v>
      </c>
      <c r="B25" s="35">
        <v>307</v>
      </c>
      <c r="C25" s="36">
        <v>464.07999999999993</v>
      </c>
      <c r="D25" s="37">
        <v>299.07899999999995</v>
      </c>
      <c r="E25" s="35">
        <v>30741</v>
      </c>
      <c r="F25" s="38">
        <v>17385.780999999999</v>
      </c>
      <c r="G25" s="38">
        <v>30644.052</v>
      </c>
      <c r="H25" s="39">
        <f>F25/G25*100</f>
        <v>56.734602199474139</v>
      </c>
      <c r="I25" s="40">
        <v>84.688000000000002</v>
      </c>
      <c r="J25" s="41">
        <v>7.0179999999999954</v>
      </c>
      <c r="K25" s="39">
        <f>SUM(I25:J25)</f>
        <v>91.706000000000003</v>
      </c>
      <c r="L25" s="40">
        <v>1347.5644600000001</v>
      </c>
      <c r="M25" s="41">
        <v>164.86982950000001</v>
      </c>
      <c r="N25" s="41">
        <v>3.6719999999999993</v>
      </c>
      <c r="O25" s="39">
        <f>SUM(L25:N25)</f>
        <v>1516.1062895</v>
      </c>
      <c r="P25" s="40">
        <v>3391.8502869999934</v>
      </c>
      <c r="Q25" s="39">
        <f>O25/P25*100</f>
        <v>44.698502622913757</v>
      </c>
    </row>
    <row r="26" spans="1:34" s="4" customFormat="1" ht="24" customHeight="1" x14ac:dyDescent="0.25">
      <c r="A26" s="42" t="s">
        <v>3</v>
      </c>
      <c r="B26" s="20">
        <v>629</v>
      </c>
      <c r="C26" s="19">
        <v>1028</v>
      </c>
      <c r="D26" s="43">
        <v>817.78700000000003</v>
      </c>
      <c r="E26" s="20">
        <v>1897</v>
      </c>
      <c r="F26" s="21">
        <v>1625.932</v>
      </c>
      <c r="G26" s="21">
        <v>37200.341999999997</v>
      </c>
      <c r="H26" s="22">
        <f>F26/G26*100</f>
        <v>4.3707447635830876</v>
      </c>
      <c r="I26" s="23">
        <v>2678.3089500000001</v>
      </c>
      <c r="J26" s="24">
        <v>0.151</v>
      </c>
      <c r="K26" s="22">
        <f>SUM(I26:J26)</f>
        <v>2678.4599499999999</v>
      </c>
      <c r="L26" s="23">
        <v>121.9449</v>
      </c>
      <c r="M26" s="24">
        <v>3195.685736110001</v>
      </c>
      <c r="N26" s="24"/>
      <c r="O26" s="22">
        <f>SUM(L26:N26)</f>
        <v>3317.630636110001</v>
      </c>
      <c r="P26" s="23">
        <v>14131.601120000003</v>
      </c>
      <c r="Q26" s="22">
        <f>O26/P26*100</f>
        <v>23.476679025525737</v>
      </c>
    </row>
    <row r="27" spans="1:34" s="5" customFormat="1" ht="24" customHeight="1" x14ac:dyDescent="0.25">
      <c r="A27" s="34" t="s">
        <v>4</v>
      </c>
      <c r="B27" s="35">
        <v>244</v>
      </c>
      <c r="C27" s="36">
        <v>468.47</v>
      </c>
      <c r="D27" s="37">
        <v>397.09500000000003</v>
      </c>
      <c r="E27" s="35">
        <v>4448</v>
      </c>
      <c r="F27" s="38">
        <v>4815.8720000000003</v>
      </c>
      <c r="G27" s="38">
        <v>31657.609</v>
      </c>
      <c r="H27" s="39">
        <f t="shared" ref="H27:H34" si="8">F27/G27*100</f>
        <v>15.212368059760925</v>
      </c>
      <c r="I27" s="40">
        <v>1875.6969999999999</v>
      </c>
      <c r="J27" s="41"/>
      <c r="K27" s="39">
        <f t="shared" ref="K27:K34" si="9">SUM(I27:J27)</f>
        <v>1875.6969999999999</v>
      </c>
      <c r="L27" s="40">
        <v>2613.2512099999999</v>
      </c>
      <c r="M27" s="41">
        <v>2456.61</v>
      </c>
      <c r="N27" s="41"/>
      <c r="O27" s="39">
        <f t="shared" ref="O27:O34" si="10">SUM(L27:N27)</f>
        <v>5069.86121</v>
      </c>
      <c r="P27" s="40">
        <v>7002.7708000000002</v>
      </c>
      <c r="Q27" s="39">
        <f t="shared" ref="Q27:Q34" si="11">O27/P27*100</f>
        <v>72.397931544468079</v>
      </c>
    </row>
    <row r="28" spans="1:34" s="4" customFormat="1" ht="24" customHeight="1" x14ac:dyDescent="0.25">
      <c r="A28" s="42" t="s">
        <v>36</v>
      </c>
      <c r="B28" s="20">
        <v>194</v>
      </c>
      <c r="C28" s="19">
        <v>356.66</v>
      </c>
      <c r="D28" s="43">
        <v>214</v>
      </c>
      <c r="E28" s="20">
        <v>10575</v>
      </c>
      <c r="F28" s="21">
        <v>12516</v>
      </c>
      <c r="G28" s="21">
        <v>19829</v>
      </c>
      <c r="H28" s="22">
        <f t="shared" si="8"/>
        <v>63.11967320591053</v>
      </c>
      <c r="I28" s="23">
        <v>1584.3159999999998</v>
      </c>
      <c r="J28" s="24"/>
      <c r="K28" s="22">
        <f t="shared" si="9"/>
        <v>1584.3159999999998</v>
      </c>
      <c r="L28" s="23">
        <v>916.80619999999999</v>
      </c>
      <c r="M28" s="24">
        <v>1915.26</v>
      </c>
      <c r="N28" s="24"/>
      <c r="O28" s="22">
        <f t="shared" si="10"/>
        <v>2832.0662000000002</v>
      </c>
      <c r="P28" s="23">
        <v>5523.0167999999994</v>
      </c>
      <c r="Q28" s="22">
        <f t="shared" si="11"/>
        <v>51.277522820499122</v>
      </c>
    </row>
    <row r="29" spans="1:34" s="4" customFormat="1" ht="24" customHeight="1" x14ac:dyDescent="0.25">
      <c r="A29" s="34" t="s">
        <v>37</v>
      </c>
      <c r="B29" s="35">
        <v>1043</v>
      </c>
      <c r="C29" s="36">
        <v>1644.1966666666667</v>
      </c>
      <c r="D29" s="37">
        <v>996.90000000000009</v>
      </c>
      <c r="E29" s="35">
        <v>7567</v>
      </c>
      <c r="F29" s="38">
        <v>10185.278</v>
      </c>
      <c r="G29" s="38">
        <v>17752.216</v>
      </c>
      <c r="H29" s="39">
        <f t="shared" si="8"/>
        <v>57.37468494074205</v>
      </c>
      <c r="I29" s="40">
        <v>7229.1795899999979</v>
      </c>
      <c r="J29" s="41"/>
      <c r="K29" s="39">
        <f t="shared" si="9"/>
        <v>7229.1795899999979</v>
      </c>
      <c r="L29" s="40">
        <v>273.87567000000001</v>
      </c>
      <c r="M29" s="41">
        <v>8257.0740026499989</v>
      </c>
      <c r="N29" s="41"/>
      <c r="O29" s="39">
        <f t="shared" si="10"/>
        <v>8530.9496726499983</v>
      </c>
      <c r="P29" s="40">
        <v>17541.683609</v>
      </c>
      <c r="Q29" s="39">
        <f t="shared" si="11"/>
        <v>48.632445224773512</v>
      </c>
    </row>
    <row r="30" spans="1:34" s="4" customFormat="1" ht="24" customHeight="1" x14ac:dyDescent="0.25">
      <c r="A30" s="42" t="s">
        <v>38</v>
      </c>
      <c r="B30" s="20">
        <v>1140</v>
      </c>
      <c r="C30" s="19">
        <v>1911.37</v>
      </c>
      <c r="D30" s="43">
        <v>1190.3620000000001</v>
      </c>
      <c r="E30" s="20">
        <v>15278</v>
      </c>
      <c r="F30" s="21">
        <v>99230.764999999999</v>
      </c>
      <c r="G30" s="21">
        <v>833520.02100000007</v>
      </c>
      <c r="H30" s="22">
        <f t="shared" si="8"/>
        <v>11.9050247744439</v>
      </c>
      <c r="I30" s="23">
        <v>7485.9985799999968</v>
      </c>
      <c r="J30" s="24"/>
      <c r="K30" s="22">
        <f t="shared" si="9"/>
        <v>7485.9985799999968</v>
      </c>
      <c r="L30" s="23">
        <v>1341.7315350000001</v>
      </c>
      <c r="M30" s="24">
        <v>8975.1997274899877</v>
      </c>
      <c r="N30" s="24"/>
      <c r="O30" s="22">
        <f t="shared" si="10"/>
        <v>10316.931262489989</v>
      </c>
      <c r="P30" s="23">
        <v>19529.53212</v>
      </c>
      <c r="Q30" s="22">
        <f t="shared" si="11"/>
        <v>52.827334516245386</v>
      </c>
    </row>
    <row r="31" spans="1:34" s="4" customFormat="1" ht="24" customHeight="1" x14ac:dyDescent="0.25">
      <c r="A31" s="34" t="s">
        <v>39</v>
      </c>
      <c r="B31" s="35">
        <v>1252</v>
      </c>
      <c r="C31" s="36">
        <v>2052.1723333333334</v>
      </c>
      <c r="D31" s="37">
        <v>1243.098</v>
      </c>
      <c r="E31" s="35">
        <v>12937</v>
      </c>
      <c r="F31" s="38">
        <v>16307.985000000001</v>
      </c>
      <c r="G31" s="38">
        <v>26575.059999999998</v>
      </c>
      <c r="H31" s="39">
        <f t="shared" si="8"/>
        <v>61.365750444213496</v>
      </c>
      <c r="I31" s="40">
        <v>6382.7544099999968</v>
      </c>
      <c r="J31" s="41"/>
      <c r="K31" s="39">
        <f t="shared" si="9"/>
        <v>6382.7544099999968</v>
      </c>
      <c r="L31" s="40">
        <v>1225.6707499999952</v>
      </c>
      <c r="M31" s="41">
        <v>7536.054870629996</v>
      </c>
      <c r="N31" s="41"/>
      <c r="O31" s="39">
        <f t="shared" si="10"/>
        <v>8761.7256206299917</v>
      </c>
      <c r="P31" s="40">
        <v>20722.468788999999</v>
      </c>
      <c r="Q31" s="39">
        <f t="shared" si="11"/>
        <v>42.281282746006269</v>
      </c>
    </row>
    <row r="32" spans="1:34" s="4" customFormat="1" ht="24" customHeight="1" x14ac:dyDescent="0.25">
      <c r="A32" s="42" t="s">
        <v>40</v>
      </c>
      <c r="B32" s="20">
        <v>1373</v>
      </c>
      <c r="C32" s="19">
        <v>2279.9453333333331</v>
      </c>
      <c r="D32" s="43">
        <v>1398.559</v>
      </c>
      <c r="E32" s="20">
        <v>8429</v>
      </c>
      <c r="F32" s="21">
        <v>6730.6959999999999</v>
      </c>
      <c r="G32" s="21">
        <v>14971.655999999999</v>
      </c>
      <c r="H32" s="22">
        <f t="shared" si="8"/>
        <v>44.956256008019423</v>
      </c>
      <c r="I32" s="23">
        <v>7832.4704499999971</v>
      </c>
      <c r="J32" s="24"/>
      <c r="K32" s="22">
        <f t="shared" si="9"/>
        <v>7832.4704499999971</v>
      </c>
      <c r="L32" s="23">
        <v>539.189435</v>
      </c>
      <c r="M32" s="24">
        <v>9609.2481225599968</v>
      </c>
      <c r="N32" s="24"/>
      <c r="O32" s="22">
        <f t="shared" si="10"/>
        <v>10148.437557559997</v>
      </c>
      <c r="P32" s="23">
        <v>24941.043659999999</v>
      </c>
      <c r="Q32" s="22">
        <f t="shared" si="11"/>
        <v>40.6897068779679</v>
      </c>
    </row>
    <row r="33" spans="1:17" s="4" customFormat="1" ht="24" customHeight="1" x14ac:dyDescent="0.25">
      <c r="A33" s="34" t="s">
        <v>5</v>
      </c>
      <c r="B33" s="35">
        <v>1097</v>
      </c>
      <c r="C33" s="36">
        <v>1830.7043266666665</v>
      </c>
      <c r="D33" s="37">
        <v>1090.0160000000001</v>
      </c>
      <c r="E33" s="35">
        <v>20535</v>
      </c>
      <c r="F33" s="38">
        <v>12673.984</v>
      </c>
      <c r="G33" s="38">
        <v>24577.978999999999</v>
      </c>
      <c r="H33" s="39">
        <f t="shared" si="8"/>
        <v>51.566420493727335</v>
      </c>
      <c r="I33" s="40">
        <v>4817.4639999999999</v>
      </c>
      <c r="J33" s="41"/>
      <c r="K33" s="39">
        <f t="shared" si="9"/>
        <v>4817.4639999999999</v>
      </c>
      <c r="L33" s="40">
        <v>956.04425200000014</v>
      </c>
      <c r="M33" s="41">
        <v>5754.2767839600056</v>
      </c>
      <c r="N33" s="41"/>
      <c r="O33" s="39">
        <f t="shared" si="10"/>
        <v>6710.3210359600052</v>
      </c>
      <c r="P33" s="40">
        <v>18700.015598999998</v>
      </c>
      <c r="Q33" s="39">
        <f t="shared" si="11"/>
        <v>35.88403977758631</v>
      </c>
    </row>
    <row r="34" spans="1:17" s="4" customFormat="1" ht="24" customHeight="1" x14ac:dyDescent="0.25">
      <c r="A34" s="42" t="s">
        <v>6</v>
      </c>
      <c r="B34" s="20">
        <v>1339</v>
      </c>
      <c r="C34" s="19">
        <v>2177.583333333333</v>
      </c>
      <c r="D34" s="43">
        <v>1268.461</v>
      </c>
      <c r="E34" s="20">
        <v>36205</v>
      </c>
      <c r="F34" s="21">
        <v>24010.661</v>
      </c>
      <c r="G34" s="21">
        <v>43991.771999999997</v>
      </c>
      <c r="H34" s="22">
        <f t="shared" si="8"/>
        <v>54.579890530438291</v>
      </c>
      <c r="I34" s="48">
        <v>5766.9980000000032</v>
      </c>
      <c r="J34" s="24"/>
      <c r="K34" s="22">
        <f t="shared" si="9"/>
        <v>5766.9980000000032</v>
      </c>
      <c r="L34" s="23">
        <v>1831.7154999999998</v>
      </c>
      <c r="M34" s="24">
        <v>6618.7651838200027</v>
      </c>
      <c r="N34" s="24"/>
      <c r="O34" s="22">
        <f t="shared" si="10"/>
        <v>8450.480683820002</v>
      </c>
      <c r="P34" s="23">
        <v>20842.568011999996</v>
      </c>
      <c r="Q34" s="22">
        <f t="shared" si="11"/>
        <v>40.544335414689229</v>
      </c>
    </row>
    <row r="35" spans="1:17" s="4" customFormat="1" ht="24" customHeight="1" x14ac:dyDescent="0.25">
      <c r="A35" s="44" t="s">
        <v>15</v>
      </c>
      <c r="B35" s="45">
        <f t="shared" ref="B35:G35" si="12">SUM(B23:B34)</f>
        <v>9321</v>
      </c>
      <c r="C35" s="45">
        <f t="shared" si="12"/>
        <v>15230.551993333331</v>
      </c>
      <c r="D35" s="45">
        <f t="shared" si="12"/>
        <v>9427.3279999999995</v>
      </c>
      <c r="E35" s="45">
        <f t="shared" si="12"/>
        <v>233147</v>
      </c>
      <c r="F35" s="46">
        <f t="shared" si="12"/>
        <v>254127.666</v>
      </c>
      <c r="G35" s="46">
        <f t="shared" si="12"/>
        <v>1141200.548</v>
      </c>
      <c r="H35" s="47">
        <f>(F35/G35)*100</f>
        <v>22.268449348834348</v>
      </c>
      <c r="I35" s="47">
        <f t="shared" ref="I35:P35" si="13">SUM(I23:I34)</f>
        <v>46131.298979999992</v>
      </c>
      <c r="J35" s="47">
        <f t="shared" si="13"/>
        <v>32.696999999999996</v>
      </c>
      <c r="K35" s="47">
        <f t="shared" si="13"/>
        <v>46163.995979999992</v>
      </c>
      <c r="L35" s="47">
        <f t="shared" si="13"/>
        <v>14929.193611999995</v>
      </c>
      <c r="M35" s="47">
        <f t="shared" si="13"/>
        <v>54868.747033719992</v>
      </c>
      <c r="N35" s="47">
        <f t="shared" si="13"/>
        <v>14.694999999999993</v>
      </c>
      <c r="O35" s="47">
        <f t="shared" si="13"/>
        <v>69812.635645719987</v>
      </c>
      <c r="P35" s="47">
        <f t="shared" si="13"/>
        <v>159020.14120399999</v>
      </c>
      <c r="Q35" s="47">
        <f>(O35/P35)*100</f>
        <v>43.901756794543658</v>
      </c>
    </row>
    <row r="36" spans="1:17" s="4" customFormat="1" ht="18" x14ac:dyDescent="0.25">
      <c r="A36" s="53" t="s">
        <v>14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</row>
    <row r="37" spans="1:17" s="4" customFormat="1" ht="18" x14ac:dyDescent="0.25">
      <c r="A37" s="53" t="s">
        <v>33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</row>
    <row r="38" spans="1:17" s="4" customFormat="1" ht="26.25" customHeight="1" x14ac:dyDescent="0.25">
      <c r="A38" s="61" t="s">
        <v>10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spans="1:17" x14ac:dyDescent="0.2">
      <c r="H39" s="2"/>
      <c r="Q39" s="2"/>
    </row>
    <row r="40" spans="1:17" x14ac:dyDescent="0.2">
      <c r="H40" s="2"/>
    </row>
    <row r="41" spans="1:17" x14ac:dyDescent="0.2">
      <c r="H41" s="2"/>
      <c r="Q41" s="2"/>
    </row>
    <row r="42" spans="1:17" x14ac:dyDescent="0.2">
      <c r="H42" s="2"/>
    </row>
    <row r="43" spans="1:17" x14ac:dyDescent="0.2">
      <c r="H43" s="2"/>
      <c r="Q43" s="2"/>
    </row>
    <row r="44" spans="1:17" x14ac:dyDescent="0.2">
      <c r="H44" s="2"/>
    </row>
    <row r="45" spans="1:17" x14ac:dyDescent="0.2">
      <c r="H45" s="2"/>
      <c r="Q45" s="2"/>
    </row>
    <row r="66" spans="8:17" x14ac:dyDescent="0.2">
      <c r="H66" s="2"/>
      <c r="Q66" s="2"/>
    </row>
    <row r="69" spans="8:17" x14ac:dyDescent="0.2">
      <c r="H69" s="2"/>
      <c r="Q69" s="2"/>
    </row>
    <row r="71" spans="8:17" x14ac:dyDescent="0.2">
      <c r="H71" s="2"/>
      <c r="Q71" s="2"/>
    </row>
    <row r="73" spans="8:17" x14ac:dyDescent="0.2">
      <c r="H73" s="2"/>
      <c r="Q73" s="2"/>
    </row>
    <row r="75" spans="8:17" x14ac:dyDescent="0.2">
      <c r="H75" s="2"/>
      <c r="Q75" s="2"/>
    </row>
    <row r="77" spans="8:17" x14ac:dyDescent="0.2">
      <c r="H77" s="2"/>
      <c r="Q77" s="2"/>
    </row>
    <row r="79" spans="8:17" x14ac:dyDescent="0.2">
      <c r="H79" s="2"/>
      <c r="Q79" s="2"/>
    </row>
    <row r="81" spans="8:17" x14ac:dyDescent="0.2">
      <c r="H81" s="2"/>
      <c r="Q81" s="2"/>
    </row>
    <row r="83" spans="8:17" x14ac:dyDescent="0.2">
      <c r="H83" s="2"/>
      <c r="Q83" s="2"/>
    </row>
    <row r="85" spans="8:17" x14ac:dyDescent="0.2">
      <c r="H85" s="2"/>
      <c r="Q85" s="2"/>
    </row>
    <row r="86" spans="8:17" x14ac:dyDescent="0.2">
      <c r="H86" s="2"/>
      <c r="Q86" s="2"/>
    </row>
    <row r="87" spans="8:17" x14ac:dyDescent="0.2">
      <c r="H87" s="2"/>
      <c r="Q87" s="2"/>
    </row>
    <row r="88" spans="8:17" x14ac:dyDescent="0.2">
      <c r="H88" s="2"/>
      <c r="Q88" s="2"/>
    </row>
    <row r="89" spans="8:17" x14ac:dyDescent="0.2">
      <c r="H89" s="2"/>
      <c r="Q89" s="2"/>
    </row>
    <row r="90" spans="8:17" x14ac:dyDescent="0.2">
      <c r="H90" s="2"/>
      <c r="Q90" s="2"/>
    </row>
    <row r="91" spans="8:17" x14ac:dyDescent="0.2">
      <c r="H91" s="2"/>
      <c r="Q91" s="2"/>
    </row>
    <row r="111" spans="8:17" x14ac:dyDescent="0.2">
      <c r="H111" s="2"/>
      <c r="Q111" s="2"/>
    </row>
    <row r="114" spans="8:17" x14ac:dyDescent="0.2">
      <c r="H114" s="2"/>
      <c r="Q114" s="2"/>
    </row>
    <row r="116" spans="8:17" x14ac:dyDescent="0.2">
      <c r="H116" s="2"/>
      <c r="Q116" s="2"/>
    </row>
    <row r="118" spans="8:17" x14ac:dyDescent="0.2">
      <c r="H118" s="2"/>
      <c r="Q118" s="2"/>
    </row>
    <row r="120" spans="8:17" x14ac:dyDescent="0.2">
      <c r="H120" s="2"/>
      <c r="Q120" s="2"/>
    </row>
    <row r="122" spans="8:17" x14ac:dyDescent="0.2">
      <c r="H122" s="2"/>
      <c r="Q122" s="2"/>
    </row>
    <row r="124" spans="8:17" x14ac:dyDescent="0.2">
      <c r="H124" s="2"/>
      <c r="Q124" s="2"/>
    </row>
    <row r="126" spans="8:17" x14ac:dyDescent="0.2">
      <c r="H126" s="2"/>
      <c r="Q126" s="2"/>
    </row>
    <row r="128" spans="8:17" x14ac:dyDescent="0.2">
      <c r="H128" s="2"/>
      <c r="Q128" s="2"/>
    </row>
    <row r="130" spans="8:17" x14ac:dyDescent="0.2">
      <c r="H130" s="2"/>
      <c r="Q130" s="2"/>
    </row>
    <row r="131" spans="8:17" x14ac:dyDescent="0.2">
      <c r="Q131" s="2"/>
    </row>
    <row r="132" spans="8:17" x14ac:dyDescent="0.2">
      <c r="H132" s="2"/>
      <c r="Q132" s="2"/>
    </row>
    <row r="133" spans="8:17" x14ac:dyDescent="0.2">
      <c r="H133" s="2"/>
      <c r="Q133" s="2"/>
    </row>
    <row r="134" spans="8:17" x14ac:dyDescent="0.2">
      <c r="H134" s="2"/>
      <c r="Q134" s="2"/>
    </row>
    <row r="135" spans="8:17" x14ac:dyDescent="0.2">
      <c r="H135" s="2"/>
      <c r="Q135" s="2"/>
    </row>
    <row r="136" spans="8:17" x14ac:dyDescent="0.2">
      <c r="H136" s="2"/>
      <c r="Q136" s="2"/>
    </row>
    <row r="159" spans="8:17" x14ac:dyDescent="0.2">
      <c r="H159" s="2"/>
      <c r="Q159" s="2"/>
    </row>
    <row r="162" spans="8:17" x14ac:dyDescent="0.2">
      <c r="H162" s="2"/>
      <c r="Q162" s="2"/>
    </row>
    <row r="164" spans="8:17" x14ac:dyDescent="0.2">
      <c r="H164" s="2"/>
      <c r="Q164" s="2"/>
    </row>
    <row r="166" spans="8:17" x14ac:dyDescent="0.2">
      <c r="H166" s="2"/>
      <c r="Q166" s="2"/>
    </row>
    <row r="168" spans="8:17" x14ac:dyDescent="0.2">
      <c r="H168" s="2"/>
      <c r="Q168" s="2"/>
    </row>
    <row r="170" spans="8:17" x14ac:dyDescent="0.2">
      <c r="H170" s="2"/>
      <c r="Q170" s="2"/>
    </row>
    <row r="172" spans="8:17" x14ac:dyDescent="0.2">
      <c r="H172" s="2"/>
      <c r="Q172" s="2"/>
    </row>
    <row r="174" spans="8:17" x14ac:dyDescent="0.2">
      <c r="H174" s="2"/>
      <c r="Q174" s="2"/>
    </row>
    <row r="176" spans="8:17" x14ac:dyDescent="0.2">
      <c r="H176" s="2"/>
      <c r="Q176" s="2"/>
    </row>
    <row r="178" spans="8:17" x14ac:dyDescent="0.2">
      <c r="H178" s="2"/>
      <c r="Q178" s="2"/>
    </row>
    <row r="180" spans="8:17" x14ac:dyDescent="0.2">
      <c r="H180" s="2"/>
      <c r="Q180" s="2"/>
    </row>
    <row r="182" spans="8:17" x14ac:dyDescent="0.2">
      <c r="H182" s="2"/>
      <c r="Q182" s="2"/>
    </row>
    <row r="184" spans="8:17" x14ac:dyDescent="0.2">
      <c r="H184" s="2"/>
      <c r="Q184" s="2"/>
    </row>
    <row r="207" spans="8:17" x14ac:dyDescent="0.2">
      <c r="H207" s="2"/>
      <c r="Q207" s="2"/>
    </row>
    <row r="209" spans="8:17" x14ac:dyDescent="0.2">
      <c r="H209" s="2"/>
      <c r="Q209" s="2"/>
    </row>
    <row r="210" spans="8:17" x14ac:dyDescent="0.2">
      <c r="H210" s="2"/>
      <c r="Q210" s="2"/>
    </row>
    <row r="211" spans="8:17" x14ac:dyDescent="0.2">
      <c r="H211" s="2"/>
      <c r="Q211" s="2"/>
    </row>
    <row r="212" spans="8:17" x14ac:dyDescent="0.2">
      <c r="H212" s="2"/>
      <c r="Q212" s="2"/>
    </row>
    <row r="213" spans="8:17" x14ac:dyDescent="0.2">
      <c r="H213" s="2"/>
      <c r="Q213" s="2"/>
    </row>
    <row r="214" spans="8:17" x14ac:dyDescent="0.2">
      <c r="H214" s="2"/>
      <c r="Q214" s="2"/>
    </row>
    <row r="215" spans="8:17" x14ac:dyDescent="0.2">
      <c r="H215" s="2"/>
      <c r="Q215" s="2"/>
    </row>
    <row r="216" spans="8:17" x14ac:dyDescent="0.2">
      <c r="H216" s="2"/>
      <c r="Q216" s="2"/>
    </row>
    <row r="217" spans="8:17" x14ac:dyDescent="0.2">
      <c r="H217" s="2"/>
      <c r="Q217" s="2"/>
    </row>
    <row r="218" spans="8:17" x14ac:dyDescent="0.2">
      <c r="H218" s="2"/>
      <c r="Q218" s="2"/>
    </row>
    <row r="219" spans="8:17" x14ac:dyDescent="0.2">
      <c r="H219" s="2"/>
      <c r="Q219" s="2"/>
    </row>
    <row r="220" spans="8:17" x14ac:dyDescent="0.2">
      <c r="H220" s="2"/>
      <c r="Q220" s="2"/>
    </row>
    <row r="221" spans="8:17" x14ac:dyDescent="0.2">
      <c r="H221" s="2"/>
      <c r="Q221" s="2"/>
    </row>
    <row r="222" spans="8:17" x14ac:dyDescent="0.2">
      <c r="H222" s="2"/>
      <c r="Q222" s="2"/>
    </row>
    <row r="223" spans="8:17" x14ac:dyDescent="0.2">
      <c r="H223" s="2"/>
      <c r="Q223" s="2"/>
    </row>
    <row r="224" spans="8:17" x14ac:dyDescent="0.2">
      <c r="H224" s="2"/>
      <c r="Q224" s="2"/>
    </row>
    <row r="225" spans="8:17" x14ac:dyDescent="0.2">
      <c r="H225" s="2"/>
      <c r="Q225" s="2"/>
    </row>
    <row r="226" spans="8:17" x14ac:dyDescent="0.2">
      <c r="H226" s="2"/>
      <c r="Q226" s="2"/>
    </row>
    <row r="227" spans="8:17" x14ac:dyDescent="0.2">
      <c r="H227" s="2"/>
      <c r="Q227" s="2"/>
    </row>
    <row r="228" spans="8:17" x14ac:dyDescent="0.2">
      <c r="H228" s="2"/>
      <c r="Q228" s="2"/>
    </row>
    <row r="229" spans="8:17" x14ac:dyDescent="0.2">
      <c r="H229" s="2"/>
      <c r="Q229" s="2"/>
    </row>
    <row r="230" spans="8:17" x14ac:dyDescent="0.2">
      <c r="H230" s="2"/>
      <c r="Q230" s="2"/>
    </row>
    <row r="231" spans="8:17" x14ac:dyDescent="0.2">
      <c r="H231" s="2"/>
      <c r="Q231" s="2"/>
    </row>
    <row r="232" spans="8:17" x14ac:dyDescent="0.2">
      <c r="H232" s="2"/>
      <c r="Q232" s="2"/>
    </row>
    <row r="255" spans="8:17" x14ac:dyDescent="0.2">
      <c r="H255" s="2"/>
      <c r="Q255" s="2"/>
    </row>
    <row r="258" spans="8:17" x14ac:dyDescent="0.2">
      <c r="H258" s="2"/>
      <c r="Q258" s="2"/>
    </row>
    <row r="260" spans="8:17" x14ac:dyDescent="0.2">
      <c r="H260" s="2"/>
      <c r="Q260" s="2"/>
    </row>
    <row r="261" spans="8:17" x14ac:dyDescent="0.2">
      <c r="H261" s="2"/>
    </row>
    <row r="262" spans="8:17" x14ac:dyDescent="0.2">
      <c r="H262" s="2"/>
      <c r="Q262" s="2"/>
    </row>
    <row r="264" spans="8:17" x14ac:dyDescent="0.2">
      <c r="H264" s="2"/>
      <c r="Q264" s="2"/>
    </row>
    <row r="266" spans="8:17" x14ac:dyDescent="0.2">
      <c r="H266" s="2"/>
      <c r="Q266" s="2"/>
    </row>
    <row r="268" spans="8:17" x14ac:dyDescent="0.2">
      <c r="H268" s="2"/>
      <c r="Q268" s="2"/>
    </row>
    <row r="270" spans="8:17" x14ac:dyDescent="0.2">
      <c r="H270" s="2"/>
      <c r="Q270" s="2"/>
    </row>
    <row r="272" spans="8:17" x14ac:dyDescent="0.2">
      <c r="H272" s="2"/>
      <c r="Q272" s="2"/>
    </row>
    <row r="274" spans="8:17" x14ac:dyDescent="0.2">
      <c r="H274" s="2"/>
      <c r="Q274" s="2"/>
    </row>
    <row r="275" spans="8:17" x14ac:dyDescent="0.2">
      <c r="H275" s="2"/>
      <c r="Q275" s="2"/>
    </row>
    <row r="276" spans="8:17" x14ac:dyDescent="0.2">
      <c r="H276" s="2"/>
      <c r="Q276" s="2"/>
    </row>
    <row r="277" spans="8:17" x14ac:dyDescent="0.2">
      <c r="H277" s="2"/>
      <c r="Q277" s="2"/>
    </row>
    <row r="278" spans="8:17" x14ac:dyDescent="0.2">
      <c r="H278" s="2"/>
      <c r="Q278" s="2"/>
    </row>
    <row r="279" spans="8:17" x14ac:dyDescent="0.2">
      <c r="H279" s="2"/>
      <c r="Q279" s="2"/>
    </row>
    <row r="280" spans="8:17" x14ac:dyDescent="0.2">
      <c r="H280" s="2"/>
      <c r="Q280" s="2"/>
    </row>
    <row r="282" spans="8:17" x14ac:dyDescent="0.2">
      <c r="H282" s="2"/>
    </row>
    <row r="301" spans="8:17" x14ac:dyDescent="0.2">
      <c r="H301" s="2"/>
      <c r="Q301" s="2"/>
    </row>
    <row r="304" spans="8:17" x14ac:dyDescent="0.2">
      <c r="H304" s="2"/>
      <c r="Q304" s="2"/>
    </row>
    <row r="306" spans="8:17" x14ac:dyDescent="0.2">
      <c r="H306" s="2"/>
      <c r="Q306" s="2"/>
    </row>
    <row r="308" spans="8:17" x14ac:dyDescent="0.2">
      <c r="H308" s="2"/>
      <c r="Q308" s="2"/>
    </row>
    <row r="310" spans="8:17" x14ac:dyDescent="0.2">
      <c r="H310" s="2"/>
      <c r="Q310" s="2"/>
    </row>
    <row r="312" spans="8:17" x14ac:dyDescent="0.2">
      <c r="H312" s="2"/>
      <c r="Q312" s="2"/>
    </row>
    <row r="314" spans="8:17" x14ac:dyDescent="0.2">
      <c r="H314" s="2"/>
      <c r="Q314" s="2"/>
    </row>
    <row r="316" spans="8:17" x14ac:dyDescent="0.2">
      <c r="H316" s="2"/>
      <c r="Q316" s="2"/>
    </row>
    <row r="318" spans="8:17" x14ac:dyDescent="0.2">
      <c r="H318" s="2"/>
      <c r="Q318" s="2"/>
    </row>
    <row r="320" spans="8:17" x14ac:dyDescent="0.2">
      <c r="H320" s="2"/>
      <c r="Q320" s="2"/>
    </row>
    <row r="322" spans="8:17" x14ac:dyDescent="0.2">
      <c r="H322" s="2"/>
      <c r="Q322" s="2"/>
    </row>
    <row r="324" spans="8:17" x14ac:dyDescent="0.2">
      <c r="H324" s="2"/>
      <c r="Q324" s="2"/>
    </row>
    <row r="326" spans="8:17" x14ac:dyDescent="0.2">
      <c r="H326" s="2"/>
      <c r="Q326" s="2"/>
    </row>
    <row r="352" spans="17:17" x14ac:dyDescent="0.2">
      <c r="Q352" s="2"/>
    </row>
    <row r="354" spans="8:17" x14ac:dyDescent="0.2">
      <c r="H354" s="2"/>
      <c r="Q354" s="2"/>
    </row>
    <row r="356" spans="8:17" x14ac:dyDescent="0.2">
      <c r="H356" s="2"/>
    </row>
    <row r="358" spans="8:17" x14ac:dyDescent="0.2">
      <c r="H358" s="2"/>
      <c r="Q358" s="2"/>
    </row>
    <row r="386" spans="8:17" x14ac:dyDescent="0.2">
      <c r="H386" s="2"/>
    </row>
    <row r="388" spans="8:17" x14ac:dyDescent="0.2">
      <c r="Q388" s="2"/>
    </row>
    <row r="389" spans="8:17" x14ac:dyDescent="0.2">
      <c r="Q389" s="2"/>
    </row>
    <row r="390" spans="8:17" x14ac:dyDescent="0.2">
      <c r="Q390" s="2"/>
    </row>
    <row r="391" spans="8:17" x14ac:dyDescent="0.2">
      <c r="Q391" s="2"/>
    </row>
    <row r="392" spans="8:17" x14ac:dyDescent="0.2">
      <c r="H392" s="2"/>
      <c r="Q392" s="2"/>
    </row>
    <row r="394" spans="8:17" x14ac:dyDescent="0.2">
      <c r="H394" s="2"/>
      <c r="Q394" s="2"/>
    </row>
    <row r="397" spans="8:17" x14ac:dyDescent="0.2">
      <c r="Q397" s="2"/>
    </row>
    <row r="421" spans="8:17" x14ac:dyDescent="0.2">
      <c r="Q421" s="2"/>
    </row>
    <row r="422" spans="8:17" x14ac:dyDescent="0.2">
      <c r="H422" s="2"/>
      <c r="Q422" s="2"/>
    </row>
    <row r="423" spans="8:17" x14ac:dyDescent="0.2">
      <c r="H423" s="2"/>
      <c r="Q423" s="2"/>
    </row>
    <row r="424" spans="8:17" x14ac:dyDescent="0.2">
      <c r="H424" s="2"/>
      <c r="Q424" s="2"/>
    </row>
    <row r="425" spans="8:17" x14ac:dyDescent="0.2">
      <c r="H425" s="2"/>
      <c r="Q425" s="2"/>
    </row>
    <row r="426" spans="8:17" x14ac:dyDescent="0.2">
      <c r="H426" s="2"/>
      <c r="Q426" s="2"/>
    </row>
    <row r="427" spans="8:17" x14ac:dyDescent="0.2">
      <c r="H427" s="2"/>
      <c r="Q427" s="2"/>
    </row>
    <row r="429" spans="8:17" x14ac:dyDescent="0.2">
      <c r="H429" s="2"/>
      <c r="Q429" s="2"/>
    </row>
    <row r="483" spans="13:13" x14ac:dyDescent="0.2">
      <c r="M483" s="3" t="s">
        <v>0</v>
      </c>
    </row>
  </sheetData>
  <mergeCells count="30">
    <mergeCell ref="A38:Q38"/>
    <mergeCell ref="A21:A22"/>
    <mergeCell ref="B21:D21"/>
    <mergeCell ref="E21:E22"/>
    <mergeCell ref="F21:F22"/>
    <mergeCell ref="G21:G22"/>
    <mergeCell ref="P21:P22"/>
    <mergeCell ref="I21:K21"/>
    <mergeCell ref="L21:O21"/>
    <mergeCell ref="G2:G3"/>
    <mergeCell ref="L2:O2"/>
    <mergeCell ref="E2:E3"/>
    <mergeCell ref="F2:F3"/>
    <mergeCell ref="H2:H3"/>
    <mergeCell ref="R1:AH1"/>
    <mergeCell ref="R20:AH20"/>
    <mergeCell ref="A1:Q1"/>
    <mergeCell ref="A37:Q37"/>
    <mergeCell ref="H21:H22"/>
    <mergeCell ref="Q2:Q3"/>
    <mergeCell ref="P2:P3"/>
    <mergeCell ref="Q21:Q22"/>
    <mergeCell ref="A36:Q36"/>
    <mergeCell ref="A20:Q20"/>
    <mergeCell ref="A17:Q17"/>
    <mergeCell ref="A18:Q18"/>
    <mergeCell ref="A19:Q19"/>
    <mergeCell ref="B2:D2"/>
    <mergeCell ref="A2:A3"/>
    <mergeCell ref="I2:K2"/>
  </mergeCells>
  <printOptions gridLines="1"/>
  <pageMargins left="0.26" right="0.25" top="0.52" bottom="0.25" header="0.5" footer="0.5"/>
  <pageSetup scale="77" firstPageNumber="76" fitToHeight="0" orientation="landscape" useFirstPageNumber="1" r:id="rId1"/>
  <headerFooter alignWithMargins="0"/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totaldom20</vt:lpstr>
      <vt:lpstr>totaldom20!\x</vt:lpstr>
      <vt:lpstr>totaldom20!Print_Area</vt:lpstr>
      <vt:lpstr>totaldom20!Print_Area_MI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Windows User</cp:lastModifiedBy>
  <cp:lastPrinted>2020-12-10T10:52:01Z</cp:lastPrinted>
  <dcterms:created xsi:type="dcterms:W3CDTF">2001-10-25T19:20:34Z</dcterms:created>
  <dcterms:modified xsi:type="dcterms:W3CDTF">2022-03-31T10:53:55Z</dcterms:modified>
</cp:coreProperties>
</file>