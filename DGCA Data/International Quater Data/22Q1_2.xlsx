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MONTHWISE!$A$1:$N$88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D84" i="2"/>
  <c r="E84" i="2"/>
  <c r="F84" i="2"/>
  <c r="G84" i="2"/>
  <c r="H84" i="2"/>
  <c r="I84" i="2"/>
  <c r="J84" i="2"/>
  <c r="K84" i="2"/>
  <c r="L84" i="2"/>
  <c r="M84" i="2"/>
  <c r="N84" i="2"/>
  <c r="C84" i="2"/>
  <c r="D85" i="2" l="1"/>
  <c r="E85" i="2"/>
  <c r="F85" i="2"/>
  <c r="G85" i="2"/>
  <c r="H85" i="2"/>
  <c r="I85" i="2"/>
  <c r="J85" i="2"/>
  <c r="K85" i="2"/>
  <c r="L85" i="2"/>
  <c r="M85" i="2"/>
  <c r="N85" i="2"/>
  <c r="C85" i="2" l="1"/>
</calcChain>
</file>

<file path=xl/sharedStrings.xml><?xml version="1.0" encoding="utf-8"?>
<sst xmlns="http://schemas.openxmlformats.org/spreadsheetml/2006/main" count="103" uniqueCount="95">
  <si>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</si>
  <si>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</si>
  <si>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</si>
  <si>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</si>
  <si>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</si>
  <si>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</si>
  <si>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</si>
  <si>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</si>
  <si>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</si>
  <si>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</si>
  <si>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</si>
  <si>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EL-AL-ISRAEL</t>
  </si>
  <si>
    <t>ETIHAD AIRLINES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</si>
  <si>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</si>
  <si>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</si>
  <si>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</si>
  <si>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</si>
  <si>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</si>
  <si>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</si>
  <si>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</si>
  <si>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</si>
  <si>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</si>
  <si>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</si>
  <si>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</si>
  <si>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</si>
  <si>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</si>
  <si>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</si>
  <si>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</si>
  <si>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</si>
  <si>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</si>
  <si>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</si>
  <si>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</si>
  <si>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</si>
  <si>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</si>
  <si>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</si>
  <si>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</si>
  <si>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</si>
  <si>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</si>
  <si>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</si>
  <si>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Note: 1. This table does not include the passengers and freight carried by domestic carriers entirely outside the Indian territory.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</si>
  <si>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</si>
  <si>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</si>
  <si>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</si>
  <si>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</si>
  <si>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</si>
  <si>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</si>
  <si>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</si>
  <si>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</si>
  <si>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</si>
  <si>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</si>
  <si>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</si>
  <si>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</si>
  <si>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</si>
  <si>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</si>
  <si>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</si>
  <si>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</si>
  <si>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</si>
  <si>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</si>
  <si>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</si>
  <si>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</si>
  <si>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MANAS</t>
  </si>
  <si>
    <t>AIR SEYCHELLES</t>
  </si>
  <si>
    <t>JAZEERA AIRWAYS</t>
  </si>
  <si>
    <t>EGYPT AIR</t>
  </si>
  <si>
    <t>AIR INDIA EXPRESS</t>
  </si>
  <si>
    <t>BLUE DART AVIATION</t>
  </si>
  <si>
    <t>GO AIR</t>
  </si>
  <si>
    <t>INDIGO</t>
  </si>
  <si>
    <t>SPICEJET</t>
  </si>
  <si>
    <t>Note: 2. In wake of Covid-19 all International scheduled operations carried by Indian carriers have been suspended as per DGCA's Circular dated 26-03-2020.</t>
  </si>
  <si>
    <t>AIR ASIA BERHAD</t>
  </si>
  <si>
    <t>AIR ASTANA</t>
  </si>
  <si>
    <t>CHINA AIRLINES LTD</t>
  </si>
  <si>
    <t>FINN AIR</t>
  </si>
  <si>
    <t>FLYNAS</t>
  </si>
  <si>
    <t>ROSSIYA AIRLINES</t>
  </si>
  <si>
    <t>SCAT AIRLINES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</si>
  <si>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</si>
  <si>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</si>
  <si>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</si>
  <si>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</si>
  <si>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</si>
  <si>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</si>
  <si>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</si>
  <si>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</si>
  <si>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</si>
  <si>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</si>
  <si>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</si>
  <si>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</si>
  <si>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</si>
  <si>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ASIA</t>
  </si>
  <si>
    <t>JANUARY</t>
  </si>
  <si>
    <t>FEBRUARY</t>
  </si>
  <si>
    <t>MARCH</t>
  </si>
  <si>
    <t>TABLE 2. AIRLINEWISE MONTHLY INTERNATIONAL TRAFFIC STATISTICS FOR THE QUARTER JANUARY-MARCH 2022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</si>
</sst>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view="pageBreakPreview" zoomScale="70" zoomScaleNormal="55" zoomScaleSheetLayoutView="70" workbookViewId="0">
      <selection activeCell="M17" sqref="M17"/>
    </sheetView>
  </sheetViews>
  <sheetFormatPr defaultRowHeight="15" x14ac:dyDescent="0.25"/>
  <cols>
    <col min="1" max="1" width="9" style="1" customWidth="1"/>
    <col min="2" max="2" width="41.5703125" style="10" customWidth="1"/>
    <col min="3" max="3" width="11.85546875" style="1" customWidth="1"/>
    <col min="4" max="4" width="13.28515625" style="1" customWidth="1"/>
    <col min="5" max="6" width="16.7109375" style="1" customWidth="1"/>
    <col min="7" max="7" width="12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1.710937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23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s="2" customFormat="1" ht="25.5" customHeight="1" x14ac:dyDescent="0.25">
      <c r="A2" s="24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21" customHeight="1" x14ac:dyDescent="0.25">
      <c r="A3" s="25" t="s">
        <v>40</v>
      </c>
      <c r="B3" s="26" t="s">
        <v>0</v>
      </c>
      <c r="C3" s="25" t="s">
        <v>91</v>
      </c>
      <c r="D3" s="25"/>
      <c r="E3" s="25"/>
      <c r="F3" s="25"/>
      <c r="G3" s="25" t="s">
        <v>92</v>
      </c>
      <c r="H3" s="25"/>
      <c r="I3" s="25"/>
      <c r="J3" s="25"/>
      <c r="K3" s="25" t="s">
        <v>93</v>
      </c>
      <c r="L3" s="25"/>
      <c r="M3" s="25"/>
      <c r="N3" s="25"/>
    </row>
    <row r="4" spans="1:14" ht="42" customHeight="1" x14ac:dyDescent="0.25">
      <c r="A4" s="25"/>
      <c r="B4" s="26"/>
      <c r="C4" s="3" t="s">
        <v>33</v>
      </c>
      <c r="D4" s="3" t="s">
        <v>34</v>
      </c>
      <c r="E4" s="3" t="s">
        <v>35</v>
      </c>
      <c r="F4" s="3" t="s">
        <v>36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33</v>
      </c>
      <c r="L4" s="3" t="s">
        <v>34</v>
      </c>
      <c r="M4" s="3" t="s">
        <v>35</v>
      </c>
      <c r="N4" s="3" t="s">
        <v>36</v>
      </c>
    </row>
    <row r="5" spans="1:14" ht="27" customHeight="1" x14ac:dyDescent="0.25">
      <c r="A5" s="31" t="s">
        <v>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s="5" customFormat="1" ht="19.5" customHeight="1" x14ac:dyDescent="0.25">
      <c r="A6" s="4">
        <v>1</v>
      </c>
      <c r="B6" s="12" t="s">
        <v>90</v>
      </c>
      <c r="C6" s="13"/>
      <c r="D6" s="13"/>
      <c r="E6" s="14">
        <v>0</v>
      </c>
      <c r="F6" s="14">
        <v>0</v>
      </c>
      <c r="G6" s="13">
        <v>0</v>
      </c>
      <c r="H6" s="13">
        <v>0</v>
      </c>
      <c r="I6" s="14">
        <v>1.895</v>
      </c>
      <c r="J6" s="14">
        <v>11.912000000000001</v>
      </c>
      <c r="K6" s="13"/>
      <c r="L6" s="13"/>
      <c r="M6" s="14">
        <v>0</v>
      </c>
      <c r="N6" s="14">
        <v>0</v>
      </c>
    </row>
    <row r="7" spans="1:14" s="5" customFormat="1" ht="19.5" customHeight="1" x14ac:dyDescent="0.25">
      <c r="A7" s="4">
        <v>2</v>
      </c>
      <c r="B7" s="15" t="s">
        <v>2</v>
      </c>
      <c r="C7" s="13">
        <v>138979</v>
      </c>
      <c r="D7" s="13">
        <v>182888</v>
      </c>
      <c r="E7" s="16">
        <v>2949.2648999999992</v>
      </c>
      <c r="F7" s="16">
        <v>4073.7906000000007</v>
      </c>
      <c r="G7" s="13">
        <v>155915</v>
      </c>
      <c r="H7" s="13">
        <v>176234</v>
      </c>
      <c r="I7" s="14">
        <v>2842.7193000000007</v>
      </c>
      <c r="J7" s="14">
        <v>3970.1254000000008</v>
      </c>
      <c r="K7" s="13">
        <v>199551</v>
      </c>
      <c r="L7" s="13">
        <v>212793</v>
      </c>
      <c r="M7" s="14">
        <v>3365.6686000000004</v>
      </c>
      <c r="N7" s="14">
        <v>4720.8104999999996</v>
      </c>
    </row>
    <row r="8" spans="1:14" s="5" customFormat="1" ht="19.5" customHeight="1" x14ac:dyDescent="0.25">
      <c r="A8" s="4">
        <v>3</v>
      </c>
      <c r="B8" s="12" t="s">
        <v>64</v>
      </c>
      <c r="C8" s="13">
        <v>91151</v>
      </c>
      <c r="D8" s="13">
        <v>147203</v>
      </c>
      <c r="E8" s="14">
        <v>448.25299999999999</v>
      </c>
      <c r="F8" s="14">
        <v>1591.288</v>
      </c>
      <c r="G8" s="13">
        <v>94702</v>
      </c>
      <c r="H8" s="13">
        <v>124031</v>
      </c>
      <c r="I8" s="14">
        <v>428.83600000000001</v>
      </c>
      <c r="J8" s="14">
        <v>1663.0360000000001</v>
      </c>
      <c r="K8" s="17">
        <v>149859</v>
      </c>
      <c r="L8" s="17">
        <v>168501</v>
      </c>
      <c r="M8" s="16">
        <v>355.24400000000003</v>
      </c>
      <c r="N8" s="16">
        <v>1712.7940000000001</v>
      </c>
    </row>
    <row r="9" spans="1:14" s="5" customFormat="1" ht="19.5" customHeight="1" x14ac:dyDescent="0.25">
      <c r="A9" s="4">
        <v>4</v>
      </c>
      <c r="B9" s="12" t="s">
        <v>65</v>
      </c>
      <c r="C9" s="13">
        <v>0</v>
      </c>
      <c r="D9" s="13">
        <v>0</v>
      </c>
      <c r="E9" s="14">
        <v>130.97499999999999</v>
      </c>
      <c r="F9" s="14">
        <v>7.4</v>
      </c>
      <c r="G9" s="13">
        <v>0</v>
      </c>
      <c r="H9" s="13">
        <v>0</v>
      </c>
      <c r="I9" s="14">
        <v>65.52</v>
      </c>
      <c r="J9" s="14">
        <v>5.9260000000000002</v>
      </c>
      <c r="K9" s="13">
        <v>0</v>
      </c>
      <c r="L9" s="13">
        <v>0</v>
      </c>
      <c r="M9" s="14">
        <v>314.39600000000002</v>
      </c>
      <c r="N9" s="14">
        <v>23.515000000000001</v>
      </c>
    </row>
    <row r="10" spans="1:14" s="5" customFormat="1" ht="19.5" customHeight="1" x14ac:dyDescent="0.25">
      <c r="A10" s="4">
        <v>5</v>
      </c>
      <c r="B10" s="15" t="s">
        <v>66</v>
      </c>
      <c r="C10" s="13">
        <v>23201</v>
      </c>
      <c r="D10" s="13">
        <v>47326</v>
      </c>
      <c r="E10" s="16">
        <v>0</v>
      </c>
      <c r="F10" s="16">
        <v>374.17985000000004</v>
      </c>
      <c r="G10" s="13">
        <v>25629</v>
      </c>
      <c r="H10" s="13">
        <v>32419</v>
      </c>
      <c r="I10" s="14">
        <v>42.895600000000002</v>
      </c>
      <c r="J10" s="14">
        <v>419.42903000000001</v>
      </c>
      <c r="K10" s="13">
        <v>44314</v>
      </c>
      <c r="L10" s="13">
        <v>51022</v>
      </c>
      <c r="M10" s="14">
        <v>5.3150000000000004</v>
      </c>
      <c r="N10" s="14">
        <v>630.99955999999997</v>
      </c>
    </row>
    <row r="11" spans="1:14" s="5" customFormat="1" ht="19.5" customHeight="1" x14ac:dyDescent="0.25">
      <c r="A11" s="4">
        <v>6</v>
      </c>
      <c r="B11" s="15" t="s">
        <v>67</v>
      </c>
      <c r="C11" s="13">
        <v>155028</v>
      </c>
      <c r="D11" s="13">
        <v>224556</v>
      </c>
      <c r="E11" s="16">
        <v>507.18</v>
      </c>
      <c r="F11" s="16">
        <v>3700.0479999999998</v>
      </c>
      <c r="G11" s="13">
        <v>165373</v>
      </c>
      <c r="H11" s="13">
        <v>198029</v>
      </c>
      <c r="I11" s="14">
        <v>589.70899999999995</v>
      </c>
      <c r="J11" s="14">
        <v>3958.0720000000001</v>
      </c>
      <c r="K11" s="13">
        <v>264889</v>
      </c>
      <c r="L11" s="13">
        <v>270512</v>
      </c>
      <c r="M11" s="14">
        <v>604.61199999999997</v>
      </c>
      <c r="N11" s="14">
        <v>3995.2750000000001</v>
      </c>
    </row>
    <row r="12" spans="1:14" s="5" customFormat="1" ht="19.5" customHeight="1" x14ac:dyDescent="0.25">
      <c r="A12" s="4">
        <v>7</v>
      </c>
      <c r="B12" s="12" t="s">
        <v>68</v>
      </c>
      <c r="C12" s="13">
        <v>42334</v>
      </c>
      <c r="D12" s="13">
        <v>63110</v>
      </c>
      <c r="E12" s="14">
        <v>1779.9600799999998</v>
      </c>
      <c r="F12" s="14">
        <v>1068.4122500000001</v>
      </c>
      <c r="G12" s="13">
        <v>38222</v>
      </c>
      <c r="H12" s="13">
        <v>50017</v>
      </c>
      <c r="I12" s="14">
        <v>1342.5937199999998</v>
      </c>
      <c r="J12" s="14">
        <v>900.98312999999985</v>
      </c>
      <c r="K12" s="17">
        <v>57676</v>
      </c>
      <c r="L12" s="17">
        <v>59354</v>
      </c>
      <c r="M12" s="16">
        <v>2151.9057000000012</v>
      </c>
      <c r="N12" s="16">
        <v>979.57844</v>
      </c>
    </row>
    <row r="13" spans="1:14" s="5" customFormat="1" ht="19.5" customHeight="1" x14ac:dyDescent="0.25">
      <c r="A13" s="4">
        <v>8</v>
      </c>
      <c r="B13" s="12" t="s">
        <v>45</v>
      </c>
      <c r="C13" s="13">
        <v>19923</v>
      </c>
      <c r="D13" s="13">
        <v>29317</v>
      </c>
      <c r="E13" s="14">
        <v>437.21800000000002</v>
      </c>
      <c r="F13" s="14">
        <v>551.97699999999998</v>
      </c>
      <c r="G13" s="13">
        <v>21658</v>
      </c>
      <c r="H13" s="13">
        <v>26734</v>
      </c>
      <c r="I13" s="14">
        <v>405.02350000000001</v>
      </c>
      <c r="J13" s="14">
        <v>639.91399999999999</v>
      </c>
      <c r="K13" s="13">
        <v>36873</v>
      </c>
      <c r="L13" s="13">
        <v>39752</v>
      </c>
      <c r="M13" s="14">
        <v>600.10950000000003</v>
      </c>
      <c r="N13" s="14">
        <v>800.18100000000004</v>
      </c>
    </row>
    <row r="14" spans="1:14" ht="31.5" customHeight="1" x14ac:dyDescent="0.25">
      <c r="A14" s="32" t="s">
        <v>3</v>
      </c>
      <c r="B14" s="32"/>
      <c r="C14" s="6">
        <f t="shared" ref="C14:N14" si="0">SUM(C6:C13)</f>
        <v>470616</v>
      </c>
      <c r="D14" s="6">
        <f t="shared" si="0"/>
        <v>694400</v>
      </c>
      <c r="E14" s="7">
        <f t="shared" si="0"/>
        <v>6252.8509799999983</v>
      </c>
      <c r="F14" s="7">
        <f t="shared" si="0"/>
        <v>11367.095700000002</v>
      </c>
      <c r="G14" s="6">
        <f t="shared" si="0"/>
        <v>501499</v>
      </c>
      <c r="H14" s="6">
        <f t="shared" si="0"/>
        <v>607464</v>
      </c>
      <c r="I14" s="7">
        <f t="shared" si="0"/>
        <v>5719.1921200000006</v>
      </c>
      <c r="J14" s="7">
        <f t="shared" si="0"/>
        <v>11569.397560000003</v>
      </c>
      <c r="K14" s="6">
        <f t="shared" si="0"/>
        <v>753162</v>
      </c>
      <c r="L14" s="6">
        <f t="shared" si="0"/>
        <v>801934</v>
      </c>
      <c r="M14" s="7">
        <f t="shared" si="0"/>
        <v>7397.2508000000016</v>
      </c>
      <c r="N14" s="7">
        <f t="shared" si="0"/>
        <v>12863.1535</v>
      </c>
    </row>
    <row r="15" spans="1:14" ht="28.5" customHeight="1" x14ac:dyDescent="0.25">
      <c r="A15" s="33" t="s">
        <v>4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spans="1:14" ht="24.75" customHeight="1" x14ac:dyDescent="0.25">
      <c r="A16" s="11">
        <v>1</v>
      </c>
      <c r="B16" s="12" t="s">
        <v>5</v>
      </c>
      <c r="C16" s="13">
        <v>2706</v>
      </c>
      <c r="D16" s="13">
        <v>3200</v>
      </c>
      <c r="E16" s="14">
        <v>34.429000000000002</v>
      </c>
      <c r="F16" s="14">
        <v>152.761</v>
      </c>
      <c r="G16" s="13">
        <v>2171</v>
      </c>
      <c r="H16" s="13">
        <v>2497</v>
      </c>
      <c r="I16" s="14">
        <v>16.201000000000001</v>
      </c>
      <c r="J16" s="14">
        <v>117.13800000000001</v>
      </c>
      <c r="K16" s="13">
        <v>675</v>
      </c>
      <c r="L16" s="13">
        <v>640</v>
      </c>
      <c r="M16" s="14">
        <v>3.43</v>
      </c>
      <c r="N16" s="14">
        <v>37.976999999999997</v>
      </c>
    </row>
    <row r="17" spans="1:15" ht="31.5" customHeight="1" x14ac:dyDescent="0.25">
      <c r="A17" s="11">
        <v>2</v>
      </c>
      <c r="B17" s="15" t="s">
        <v>6</v>
      </c>
      <c r="C17" s="13">
        <v>0</v>
      </c>
      <c r="D17" s="13">
        <v>0</v>
      </c>
      <c r="E17" s="16">
        <v>8095.29</v>
      </c>
      <c r="F17" s="16">
        <v>8097.3620000000001</v>
      </c>
      <c r="G17" s="13">
        <v>0</v>
      </c>
      <c r="H17" s="13">
        <v>0</v>
      </c>
      <c r="I17" s="14">
        <v>7436.9570000000003</v>
      </c>
      <c r="J17" s="14">
        <v>8182.683</v>
      </c>
      <c r="K17" s="13">
        <v>0</v>
      </c>
      <c r="L17" s="13">
        <v>0</v>
      </c>
      <c r="M17" s="14">
        <v>8748.348</v>
      </c>
      <c r="N17" s="14">
        <v>9016.9599999999991</v>
      </c>
    </row>
    <row r="18" spans="1:15" ht="31.5" customHeight="1" x14ac:dyDescent="0.25">
      <c r="A18" s="11">
        <v>3</v>
      </c>
      <c r="B18" s="12" t="s">
        <v>7</v>
      </c>
      <c r="C18" s="13">
        <v>76078</v>
      </c>
      <c r="D18" s="13">
        <v>124723</v>
      </c>
      <c r="E18" s="14">
        <v>99.33</v>
      </c>
      <c r="F18" s="14">
        <v>1630.432</v>
      </c>
      <c r="G18" s="13">
        <v>77724</v>
      </c>
      <c r="H18" s="13">
        <v>91153</v>
      </c>
      <c r="I18" s="14">
        <v>200.535</v>
      </c>
      <c r="J18" s="14">
        <v>1220.3620000000001</v>
      </c>
      <c r="K18" s="17">
        <v>124864</v>
      </c>
      <c r="L18" s="17">
        <v>130389</v>
      </c>
      <c r="M18" s="16">
        <v>144.02199999999999</v>
      </c>
      <c r="N18" s="16">
        <v>1682.002</v>
      </c>
    </row>
    <row r="19" spans="1:15" ht="31.5" customHeight="1" x14ac:dyDescent="0.25">
      <c r="A19" s="11">
        <v>4</v>
      </c>
      <c r="B19" s="12" t="s">
        <v>81</v>
      </c>
      <c r="C19" s="13">
        <v>6592</v>
      </c>
      <c r="D19" s="13">
        <v>12833</v>
      </c>
      <c r="E19" s="14">
        <v>0</v>
      </c>
      <c r="F19" s="14">
        <v>0</v>
      </c>
      <c r="G19" s="13">
        <v>6277</v>
      </c>
      <c r="H19" s="13">
        <v>9566</v>
      </c>
      <c r="I19" s="14">
        <v>0</v>
      </c>
      <c r="J19" s="14">
        <v>0</v>
      </c>
      <c r="K19" s="13">
        <v>11412</v>
      </c>
      <c r="L19" s="13">
        <v>12204</v>
      </c>
      <c r="M19" s="14">
        <v>0</v>
      </c>
      <c r="N19" s="14">
        <v>0</v>
      </c>
      <c r="O19" s="8"/>
    </row>
    <row r="20" spans="1:15" ht="31.5" customHeight="1" x14ac:dyDescent="0.25">
      <c r="A20" s="11">
        <v>5</v>
      </c>
      <c r="B20" s="12" t="s">
        <v>70</v>
      </c>
      <c r="C20" s="13">
        <v>0</v>
      </c>
      <c r="D20" s="13">
        <v>0</v>
      </c>
      <c r="E20" s="14">
        <v>20.62</v>
      </c>
      <c r="F20" s="14">
        <v>6.7359999999999998</v>
      </c>
      <c r="G20" s="13"/>
      <c r="H20" s="13">
        <v>0</v>
      </c>
      <c r="I20" s="14">
        <v>0</v>
      </c>
      <c r="J20" s="14">
        <v>0</v>
      </c>
      <c r="K20" s="13">
        <v>0</v>
      </c>
      <c r="L20" s="13">
        <v>0</v>
      </c>
      <c r="M20" s="14">
        <v>0</v>
      </c>
      <c r="N20" s="14">
        <v>0</v>
      </c>
    </row>
    <row r="21" spans="1:15" ht="31.5" customHeight="1" x14ac:dyDescent="0.25">
      <c r="A21" s="11">
        <v>6</v>
      </c>
      <c r="B21" s="12" t="s">
        <v>51</v>
      </c>
      <c r="C21" s="17">
        <v>0</v>
      </c>
      <c r="D21" s="17">
        <v>0</v>
      </c>
      <c r="E21" s="14">
        <v>134.76400000000001</v>
      </c>
      <c r="F21" s="14">
        <v>27.811</v>
      </c>
      <c r="G21" s="13">
        <v>0</v>
      </c>
      <c r="H21" s="13">
        <v>0</v>
      </c>
      <c r="I21" s="14">
        <v>137.40700000000001</v>
      </c>
      <c r="J21" s="14">
        <v>209.68700000000001</v>
      </c>
      <c r="K21" s="13">
        <v>0</v>
      </c>
      <c r="L21" s="13">
        <v>0</v>
      </c>
      <c r="M21" s="14">
        <v>341.964</v>
      </c>
      <c r="N21" s="14">
        <v>327.72800000000001</v>
      </c>
    </row>
    <row r="22" spans="1:15" s="9" customFormat="1" ht="27.95" customHeight="1" x14ac:dyDescent="0.25">
      <c r="A22" s="11">
        <v>7</v>
      </c>
      <c r="B22" s="18" t="s">
        <v>71</v>
      </c>
      <c r="C22" s="17">
        <v>515</v>
      </c>
      <c r="D22" s="17">
        <v>792</v>
      </c>
      <c r="E22" s="14">
        <v>0</v>
      </c>
      <c r="F22" s="14">
        <v>13.629</v>
      </c>
      <c r="G22" s="13">
        <v>910</v>
      </c>
      <c r="H22" s="13">
        <v>1186</v>
      </c>
      <c r="I22" s="14">
        <v>0.1</v>
      </c>
      <c r="J22" s="14">
        <v>15.689</v>
      </c>
      <c r="K22" s="13">
        <v>864</v>
      </c>
      <c r="L22" s="13">
        <v>1134</v>
      </c>
      <c r="M22" s="14">
        <v>0.14499999999999999</v>
      </c>
      <c r="N22" s="14">
        <v>24.007999999999999</v>
      </c>
    </row>
    <row r="23" spans="1:15" s="9" customFormat="1" ht="27.95" customHeight="1" x14ac:dyDescent="0.25">
      <c r="A23" s="11">
        <v>8</v>
      </c>
      <c r="B23" s="15" t="s">
        <v>46</v>
      </c>
      <c r="C23" s="13">
        <v>18563</v>
      </c>
      <c r="D23" s="13">
        <v>23293</v>
      </c>
      <c r="E23" s="14">
        <v>70.209999999999994</v>
      </c>
      <c r="F23" s="14">
        <v>212.958</v>
      </c>
      <c r="G23" s="17">
        <v>22085</v>
      </c>
      <c r="H23" s="17">
        <v>24119</v>
      </c>
      <c r="I23" s="16">
        <v>77.968999999999994</v>
      </c>
      <c r="J23" s="16">
        <v>165.673</v>
      </c>
      <c r="K23" s="17">
        <v>23428</v>
      </c>
      <c r="L23" s="17">
        <v>26764</v>
      </c>
      <c r="M23" s="16">
        <v>94.51</v>
      </c>
      <c r="N23" s="16">
        <v>351.13400000000001</v>
      </c>
    </row>
    <row r="24" spans="1:15" s="9" customFormat="1" ht="27.95" customHeight="1" x14ac:dyDescent="0.25">
      <c r="A24" s="11">
        <v>9</v>
      </c>
      <c r="B24" s="12" t="s">
        <v>47</v>
      </c>
      <c r="C24" s="13">
        <v>8650</v>
      </c>
      <c r="D24" s="13">
        <v>11239</v>
      </c>
      <c r="E24" s="14">
        <v>574.05799999999999</v>
      </c>
      <c r="F24" s="14">
        <v>854.36300000000006</v>
      </c>
      <c r="G24" s="13">
        <v>8856</v>
      </c>
      <c r="H24" s="13">
        <v>11332</v>
      </c>
      <c r="I24" s="14">
        <v>578.53200000000004</v>
      </c>
      <c r="J24" s="14">
        <v>755.16800000000001</v>
      </c>
      <c r="K24" s="13">
        <v>11522</v>
      </c>
      <c r="L24" s="13">
        <v>13192</v>
      </c>
      <c r="M24" s="14">
        <v>567.02099999999996</v>
      </c>
      <c r="N24" s="14">
        <v>792.22199999999998</v>
      </c>
    </row>
    <row r="25" spans="1:15" s="9" customFormat="1" ht="27.75" customHeight="1" x14ac:dyDescent="0.25">
      <c r="A25" s="11">
        <v>10</v>
      </c>
      <c r="B25" s="12" t="s">
        <v>60</v>
      </c>
      <c r="C25" s="13">
        <v>30</v>
      </c>
      <c r="D25" s="13">
        <v>707</v>
      </c>
      <c r="E25" s="14">
        <v>0</v>
      </c>
      <c r="F25" s="14">
        <v>0</v>
      </c>
      <c r="G25" s="13">
        <v>17</v>
      </c>
      <c r="H25" s="13">
        <v>428</v>
      </c>
      <c r="I25" s="14">
        <v>0</v>
      </c>
      <c r="J25" s="14">
        <v>0</v>
      </c>
      <c r="K25" s="13"/>
      <c r="L25" s="13"/>
      <c r="M25" s="14">
        <v>0</v>
      </c>
      <c r="N25" s="14">
        <v>0</v>
      </c>
    </row>
    <row r="26" spans="1:15" s="9" customFormat="1" ht="27.75" customHeight="1" x14ac:dyDescent="0.25">
      <c r="A26" s="11">
        <v>11</v>
      </c>
      <c r="B26" s="12" t="s">
        <v>52</v>
      </c>
      <c r="C26" s="13">
        <v>1131</v>
      </c>
      <c r="D26" s="13">
        <v>1450</v>
      </c>
      <c r="E26" s="14">
        <v>24.623000000000001</v>
      </c>
      <c r="F26" s="14">
        <v>254.96</v>
      </c>
      <c r="G26" s="13">
        <v>1189</v>
      </c>
      <c r="H26" s="13">
        <v>1605</v>
      </c>
      <c r="I26" s="14">
        <v>6.0679999999999996</v>
      </c>
      <c r="J26" s="14">
        <v>369.53199999999998</v>
      </c>
      <c r="K26" s="13">
        <v>2222</v>
      </c>
      <c r="L26" s="13">
        <v>2688</v>
      </c>
      <c r="M26" s="14">
        <v>17.13</v>
      </c>
      <c r="N26" s="14">
        <v>419.87099999999998</v>
      </c>
    </row>
    <row r="27" spans="1:15" s="9" customFormat="1" ht="27.75" customHeight="1" x14ac:dyDescent="0.25">
      <c r="A27" s="11">
        <v>12</v>
      </c>
      <c r="B27" s="18" t="s">
        <v>61</v>
      </c>
      <c r="C27" s="17">
        <v>350</v>
      </c>
      <c r="D27" s="17">
        <v>629</v>
      </c>
      <c r="E27" s="14">
        <v>0</v>
      </c>
      <c r="F27" s="14">
        <v>0</v>
      </c>
      <c r="G27" s="13">
        <v>209</v>
      </c>
      <c r="H27" s="13">
        <v>471</v>
      </c>
      <c r="I27" s="14">
        <v>0</v>
      </c>
      <c r="J27" s="14">
        <v>0</v>
      </c>
      <c r="K27" s="13">
        <v>282</v>
      </c>
      <c r="L27" s="13">
        <v>507</v>
      </c>
      <c r="M27" s="14">
        <v>0</v>
      </c>
      <c r="N27" s="14">
        <v>0</v>
      </c>
    </row>
    <row r="28" spans="1:15" s="9" customFormat="1" ht="27.75" customHeight="1" x14ac:dyDescent="0.25">
      <c r="A28" s="11">
        <v>13</v>
      </c>
      <c r="B28" s="12" t="s">
        <v>82</v>
      </c>
      <c r="C28" s="13">
        <v>1278</v>
      </c>
      <c r="D28" s="13">
        <v>1890</v>
      </c>
      <c r="E28" s="14">
        <v>8.6709999999999994</v>
      </c>
      <c r="F28" s="14">
        <v>81.384899999999988</v>
      </c>
      <c r="G28" s="13">
        <v>1206</v>
      </c>
      <c r="H28" s="13">
        <v>1684</v>
      </c>
      <c r="I28" s="14">
        <v>1.3157999999999999</v>
      </c>
      <c r="J28" s="14">
        <v>89.664100000000005</v>
      </c>
      <c r="K28" s="13">
        <v>1580</v>
      </c>
      <c r="L28" s="13">
        <v>1952</v>
      </c>
      <c r="M28" s="14">
        <v>37.109099999999998</v>
      </c>
      <c r="N28" s="14">
        <v>81.779200000000003</v>
      </c>
    </row>
    <row r="29" spans="1:15" s="9" customFormat="1" ht="27.75" customHeight="1" x14ac:dyDescent="0.25">
      <c r="A29" s="11">
        <v>14</v>
      </c>
      <c r="B29" s="12" t="s">
        <v>50</v>
      </c>
      <c r="C29" s="13">
        <v>513</v>
      </c>
      <c r="D29" s="13">
        <v>1257</v>
      </c>
      <c r="E29" s="14">
        <v>224.309</v>
      </c>
      <c r="F29" s="14">
        <v>310.45400000000001</v>
      </c>
      <c r="G29" s="13">
        <v>370</v>
      </c>
      <c r="H29" s="13">
        <v>575</v>
      </c>
      <c r="I29" s="14">
        <v>344.61900000000003</v>
      </c>
      <c r="J29" s="14">
        <v>245.37799999999999</v>
      </c>
      <c r="K29" s="13">
        <v>827</v>
      </c>
      <c r="L29" s="13">
        <v>988</v>
      </c>
      <c r="M29" s="14">
        <v>213.15799999999999</v>
      </c>
      <c r="N29" s="14">
        <v>344.14</v>
      </c>
    </row>
    <row r="30" spans="1:15" s="9" customFormat="1" ht="27.75" customHeight="1" x14ac:dyDescent="0.25">
      <c r="A30" s="11">
        <v>15</v>
      </c>
      <c r="B30" s="12" t="s">
        <v>83</v>
      </c>
      <c r="C30" s="13">
        <v>5530</v>
      </c>
      <c r="D30" s="13">
        <v>6119</v>
      </c>
      <c r="E30" s="14">
        <v>143.21629999999999</v>
      </c>
      <c r="F30" s="14">
        <v>30.47</v>
      </c>
      <c r="G30" s="13">
        <v>5771</v>
      </c>
      <c r="H30" s="13">
        <v>5457</v>
      </c>
      <c r="I30" s="14">
        <v>66.591999999999999</v>
      </c>
      <c r="J30" s="14">
        <v>163.709</v>
      </c>
      <c r="K30" s="13">
        <v>8210</v>
      </c>
      <c r="L30" s="13">
        <v>8013</v>
      </c>
      <c r="M30" s="14">
        <v>118.41539999999999</v>
      </c>
      <c r="N30" s="14">
        <v>114.87269999999999</v>
      </c>
    </row>
    <row r="31" spans="1:15" s="9" customFormat="1" ht="27.75" customHeight="1" x14ac:dyDescent="0.25">
      <c r="A31" s="11">
        <v>16</v>
      </c>
      <c r="B31" s="12" t="s">
        <v>84</v>
      </c>
      <c r="C31" s="13">
        <v>0</v>
      </c>
      <c r="D31" s="13">
        <v>0</v>
      </c>
      <c r="E31" s="14">
        <v>0</v>
      </c>
      <c r="F31" s="14">
        <v>41.972000000000001</v>
      </c>
      <c r="G31" s="13"/>
      <c r="H31" s="13"/>
      <c r="I31" s="14">
        <v>0</v>
      </c>
      <c r="J31" s="14">
        <v>0</v>
      </c>
      <c r="K31" s="13">
        <v>0</v>
      </c>
      <c r="L31" s="13">
        <v>0</v>
      </c>
      <c r="M31" s="14">
        <v>0</v>
      </c>
      <c r="N31" s="14">
        <v>73.522000000000006</v>
      </c>
    </row>
    <row r="32" spans="1:15" s="9" customFormat="1" ht="27.75" customHeight="1" x14ac:dyDescent="0.25">
      <c r="A32" s="11">
        <v>17</v>
      </c>
      <c r="B32" s="12" t="s">
        <v>8</v>
      </c>
      <c r="C32" s="13">
        <v>3976</v>
      </c>
      <c r="D32" s="13">
        <v>4343</v>
      </c>
      <c r="E32" s="14">
        <v>6.1520000000000001</v>
      </c>
      <c r="F32" s="14">
        <v>120.876</v>
      </c>
      <c r="G32" s="13">
        <v>2482</v>
      </c>
      <c r="H32" s="13">
        <v>2367</v>
      </c>
      <c r="I32" s="14">
        <v>13.742000000000001</v>
      </c>
      <c r="J32" s="14">
        <v>53.728999999999999</v>
      </c>
      <c r="K32" s="13">
        <v>5888</v>
      </c>
      <c r="L32" s="13">
        <v>3405</v>
      </c>
      <c r="M32" s="14">
        <v>8.3629999999999995</v>
      </c>
      <c r="N32" s="14">
        <v>137.595</v>
      </c>
    </row>
    <row r="33" spans="1:14" s="9" customFormat="1" ht="27.75" customHeight="1" x14ac:dyDescent="0.25">
      <c r="A33" s="11">
        <v>18</v>
      </c>
      <c r="B33" s="12" t="s">
        <v>9</v>
      </c>
      <c r="C33" s="13">
        <v>0</v>
      </c>
      <c r="D33" s="13">
        <v>0</v>
      </c>
      <c r="E33" s="14">
        <v>5795.9336000000003</v>
      </c>
      <c r="F33" s="14">
        <v>1758.3446000000001</v>
      </c>
      <c r="G33" s="13">
        <v>0</v>
      </c>
      <c r="H33" s="13">
        <v>0</v>
      </c>
      <c r="I33" s="14">
        <v>4768.1425999999992</v>
      </c>
      <c r="J33" s="14">
        <v>2686.7168999999999</v>
      </c>
      <c r="K33" s="13">
        <v>0</v>
      </c>
      <c r="L33" s="13">
        <v>0</v>
      </c>
      <c r="M33" s="16">
        <v>6793.1109999999999</v>
      </c>
      <c r="N33" s="16">
        <v>4043.5726999999997</v>
      </c>
    </row>
    <row r="34" spans="1:14" s="9" customFormat="1" ht="27.75" customHeight="1" x14ac:dyDescent="0.25">
      <c r="A34" s="11">
        <v>19</v>
      </c>
      <c r="B34" s="12" t="s">
        <v>72</v>
      </c>
      <c r="C34" s="13">
        <v>0</v>
      </c>
      <c r="D34" s="13">
        <v>0</v>
      </c>
      <c r="E34" s="14">
        <v>183.09700000000001</v>
      </c>
      <c r="F34" s="14">
        <v>238.19200000000001</v>
      </c>
      <c r="G34" s="13">
        <v>0</v>
      </c>
      <c r="H34" s="13">
        <v>0</v>
      </c>
      <c r="I34" s="14">
        <v>223.75399999999999</v>
      </c>
      <c r="J34" s="14">
        <v>335.101</v>
      </c>
      <c r="K34" s="13">
        <v>0</v>
      </c>
      <c r="L34" s="13">
        <v>0</v>
      </c>
      <c r="M34" s="14">
        <v>206.37299999999999</v>
      </c>
      <c r="N34" s="14">
        <v>267.14800000000002</v>
      </c>
    </row>
    <row r="35" spans="1:14" s="9" customFormat="1" ht="27.75" customHeight="1" x14ac:dyDescent="0.25">
      <c r="A35" s="11">
        <v>20</v>
      </c>
      <c r="B35" s="12" t="s">
        <v>10</v>
      </c>
      <c r="C35" s="13">
        <v>602</v>
      </c>
      <c r="D35" s="13">
        <v>608</v>
      </c>
      <c r="E35" s="14">
        <v>0.98450000000000004</v>
      </c>
      <c r="F35" s="14">
        <v>4.5804999999999998</v>
      </c>
      <c r="G35" s="17">
        <v>396</v>
      </c>
      <c r="H35" s="17">
        <v>401</v>
      </c>
      <c r="I35" s="14">
        <v>0.25800000000000001</v>
      </c>
      <c r="J35" s="14">
        <v>5.2859999999999996</v>
      </c>
      <c r="K35" s="13">
        <v>524</v>
      </c>
      <c r="L35" s="13">
        <v>388</v>
      </c>
      <c r="M35" s="14">
        <v>0.17899999999999999</v>
      </c>
      <c r="N35" s="14">
        <v>2.8816999999999999</v>
      </c>
    </row>
    <row r="36" spans="1:14" s="9" customFormat="1" ht="27.75" customHeight="1" x14ac:dyDescent="0.25">
      <c r="A36" s="11">
        <v>21</v>
      </c>
      <c r="B36" s="12" t="s">
        <v>63</v>
      </c>
      <c r="C36" s="13">
        <v>0</v>
      </c>
      <c r="D36" s="13">
        <v>0</v>
      </c>
      <c r="E36" s="14">
        <v>92.162000000000006</v>
      </c>
      <c r="F36" s="14">
        <v>193.86500000000001</v>
      </c>
      <c r="G36" s="17">
        <v>0</v>
      </c>
      <c r="H36" s="17">
        <v>0</v>
      </c>
      <c r="I36" s="14">
        <v>316.80200000000002</v>
      </c>
      <c r="J36" s="14">
        <v>422.18900000000002</v>
      </c>
      <c r="K36" s="13">
        <v>0</v>
      </c>
      <c r="L36" s="13">
        <v>0</v>
      </c>
      <c r="M36" s="14">
        <v>417.42099999999999</v>
      </c>
      <c r="N36" s="14">
        <v>511.40199999999999</v>
      </c>
    </row>
    <row r="37" spans="1:14" s="9" customFormat="1" ht="27.75" customHeight="1" x14ac:dyDescent="0.25">
      <c r="A37" s="11">
        <v>22</v>
      </c>
      <c r="B37" s="15" t="s">
        <v>11</v>
      </c>
      <c r="C37" s="13">
        <v>0</v>
      </c>
      <c r="D37" s="13">
        <v>0</v>
      </c>
      <c r="E37" s="14">
        <v>13.423999999999999</v>
      </c>
      <c r="F37" s="14">
        <v>110.34699999999999</v>
      </c>
      <c r="G37" s="13">
        <v>0</v>
      </c>
      <c r="H37" s="13">
        <v>0</v>
      </c>
      <c r="I37" s="14">
        <v>22.579000000000001</v>
      </c>
      <c r="J37" s="14">
        <v>102.402</v>
      </c>
      <c r="K37" s="13">
        <v>0</v>
      </c>
      <c r="L37" s="13">
        <v>0</v>
      </c>
      <c r="M37" s="14">
        <v>3.653</v>
      </c>
      <c r="N37" s="14">
        <v>33.841000000000001</v>
      </c>
    </row>
    <row r="38" spans="1:14" s="9" customFormat="1" ht="27.95" customHeight="1" x14ac:dyDescent="0.25">
      <c r="A38" s="11">
        <v>23</v>
      </c>
      <c r="B38" s="12" t="s">
        <v>41</v>
      </c>
      <c r="C38" s="13">
        <v>66690</v>
      </c>
      <c r="D38" s="13">
        <v>68817</v>
      </c>
      <c r="E38" s="14">
        <v>4559.3486739999998</v>
      </c>
      <c r="F38" s="14">
        <v>8419.0137959999993</v>
      </c>
      <c r="G38" s="13">
        <v>65259</v>
      </c>
      <c r="H38" s="13">
        <v>66378</v>
      </c>
      <c r="I38" s="14">
        <v>4615.0194219999994</v>
      </c>
      <c r="J38" s="14">
        <v>8226.9259270000002</v>
      </c>
      <c r="K38" s="13">
        <v>118022</v>
      </c>
      <c r="L38" s="13">
        <v>123563</v>
      </c>
      <c r="M38" s="14">
        <v>4642.494189</v>
      </c>
      <c r="N38" s="14">
        <v>8733.0092700000023</v>
      </c>
    </row>
    <row r="39" spans="1:14" s="9" customFormat="1" ht="27.95" customHeight="1" x14ac:dyDescent="0.25">
      <c r="A39" s="11">
        <v>24</v>
      </c>
      <c r="B39" s="12" t="s">
        <v>42</v>
      </c>
      <c r="C39" s="13">
        <v>962</v>
      </c>
      <c r="D39" s="13">
        <v>1001</v>
      </c>
      <c r="E39" s="14">
        <v>13.403</v>
      </c>
      <c r="F39" s="14">
        <v>18.475999999999999</v>
      </c>
      <c r="G39" s="13">
        <v>708</v>
      </c>
      <c r="H39" s="13">
        <v>823</v>
      </c>
      <c r="I39" s="14">
        <v>9.5429999999999993</v>
      </c>
      <c r="J39" s="14">
        <v>18.768000000000001</v>
      </c>
      <c r="K39" s="13">
        <v>1636</v>
      </c>
      <c r="L39" s="13">
        <v>1614</v>
      </c>
      <c r="M39" s="14">
        <v>11.336</v>
      </c>
      <c r="N39" s="14">
        <v>79.091999999999999</v>
      </c>
    </row>
    <row r="40" spans="1:14" s="9" customFormat="1" ht="27.95" customHeight="1" x14ac:dyDescent="0.25">
      <c r="A40" s="11">
        <v>25</v>
      </c>
      <c r="B40" s="18" t="s">
        <v>12</v>
      </c>
      <c r="C40" s="13">
        <v>36819</v>
      </c>
      <c r="D40" s="13">
        <v>38060</v>
      </c>
      <c r="E40" s="14">
        <v>1135.306</v>
      </c>
      <c r="F40" s="14">
        <v>1351.002</v>
      </c>
      <c r="G40" s="17">
        <v>31223</v>
      </c>
      <c r="H40" s="17">
        <v>33132</v>
      </c>
      <c r="I40" s="14">
        <v>674.74950000000001</v>
      </c>
      <c r="J40" s="14">
        <v>1278.2449999999999</v>
      </c>
      <c r="K40" s="13">
        <v>40049</v>
      </c>
      <c r="L40" s="13">
        <v>48221</v>
      </c>
      <c r="M40" s="14">
        <v>908.22159999999997</v>
      </c>
      <c r="N40" s="14">
        <v>1575.9</v>
      </c>
    </row>
    <row r="41" spans="1:14" s="9" customFormat="1" ht="27.95" customHeight="1" x14ac:dyDescent="0.25">
      <c r="A41" s="11">
        <v>26</v>
      </c>
      <c r="B41" s="15" t="s">
        <v>13</v>
      </c>
      <c r="C41" s="13">
        <v>0</v>
      </c>
      <c r="D41" s="13">
        <v>0</v>
      </c>
      <c r="E41" s="14">
        <v>1574.8879999999999</v>
      </c>
      <c r="F41" s="14">
        <v>3085.953</v>
      </c>
      <c r="G41" s="13">
        <v>0</v>
      </c>
      <c r="H41" s="13">
        <v>0</v>
      </c>
      <c r="I41" s="14">
        <v>1618.0450000000001</v>
      </c>
      <c r="J41" s="14">
        <v>3117.9780000000001</v>
      </c>
      <c r="K41" s="13">
        <v>0</v>
      </c>
      <c r="L41" s="13">
        <v>0</v>
      </c>
      <c r="M41" s="14">
        <v>1864.82</v>
      </c>
      <c r="N41" s="14">
        <v>3491.2669999999998</v>
      </c>
    </row>
    <row r="42" spans="1:14" s="9" customFormat="1" ht="27.95" customHeight="1" x14ac:dyDescent="0.25">
      <c r="A42" s="11">
        <v>27</v>
      </c>
      <c r="B42" s="12" t="s">
        <v>73</v>
      </c>
      <c r="C42" s="13">
        <v>2071</v>
      </c>
      <c r="D42" s="13">
        <v>2663</v>
      </c>
      <c r="E42" s="14">
        <v>116.009</v>
      </c>
      <c r="F42" s="14">
        <v>114.11199999999999</v>
      </c>
      <c r="G42" s="13">
        <v>2656</v>
      </c>
      <c r="H42" s="13">
        <v>3187</v>
      </c>
      <c r="I42" s="14">
        <v>188.952</v>
      </c>
      <c r="J42" s="14">
        <v>149.828</v>
      </c>
      <c r="K42" s="13">
        <v>5041</v>
      </c>
      <c r="L42" s="13">
        <v>5029</v>
      </c>
      <c r="M42" s="14">
        <v>256.78899999999999</v>
      </c>
      <c r="N42" s="14">
        <v>264.36900000000003</v>
      </c>
    </row>
    <row r="43" spans="1:14" s="9" customFormat="1" ht="27.95" customHeight="1" x14ac:dyDescent="0.25">
      <c r="A43" s="11">
        <v>28</v>
      </c>
      <c r="B43" s="12" t="s">
        <v>56</v>
      </c>
      <c r="C43" s="13">
        <v>46118</v>
      </c>
      <c r="D43" s="13">
        <v>60629</v>
      </c>
      <c r="E43" s="14">
        <v>49.152610000000003</v>
      </c>
      <c r="F43" s="14">
        <v>494.78583000000003</v>
      </c>
      <c r="G43" s="13">
        <v>50883</v>
      </c>
      <c r="H43" s="13">
        <v>58383</v>
      </c>
      <c r="I43" s="14">
        <v>59.444569999999999</v>
      </c>
      <c r="J43" s="14">
        <v>424.88506999999998</v>
      </c>
      <c r="K43" s="13">
        <v>53362</v>
      </c>
      <c r="L43" s="13">
        <v>57449</v>
      </c>
      <c r="M43" s="14">
        <v>76.925850000000011</v>
      </c>
      <c r="N43" s="14">
        <v>410.84202999999997</v>
      </c>
    </row>
    <row r="44" spans="1:14" s="9" customFormat="1" ht="27.95" customHeight="1" x14ac:dyDescent="0.25">
      <c r="A44" s="11">
        <v>29</v>
      </c>
      <c r="B44" s="12" t="s">
        <v>74</v>
      </c>
      <c r="C44" s="13">
        <v>341</v>
      </c>
      <c r="D44" s="13">
        <v>1386</v>
      </c>
      <c r="E44" s="14">
        <v>0</v>
      </c>
      <c r="F44" s="14">
        <v>19.123999999999999</v>
      </c>
      <c r="G44" s="13">
        <v>2821</v>
      </c>
      <c r="H44" s="13">
        <v>5084</v>
      </c>
      <c r="I44" s="14">
        <v>4.0170000000000003</v>
      </c>
      <c r="J44" s="14">
        <v>59.865000000000002</v>
      </c>
      <c r="K44" s="13">
        <v>6666</v>
      </c>
      <c r="L44" s="13">
        <v>11461</v>
      </c>
      <c r="M44" s="16">
        <v>79.281999999999996</v>
      </c>
      <c r="N44" s="16">
        <v>111.117</v>
      </c>
    </row>
    <row r="45" spans="1:14" s="9" customFormat="1" ht="27.95" customHeight="1" x14ac:dyDescent="0.25">
      <c r="A45" s="11">
        <v>30</v>
      </c>
      <c r="B45" s="12" t="s">
        <v>43</v>
      </c>
      <c r="C45" s="13">
        <v>4851</v>
      </c>
      <c r="D45" s="13">
        <v>8782</v>
      </c>
      <c r="E45" s="14">
        <v>32.726999999999997</v>
      </c>
      <c r="F45" s="14">
        <v>141.45099999999999</v>
      </c>
      <c r="G45" s="13">
        <v>4242</v>
      </c>
      <c r="H45" s="13">
        <v>7733</v>
      </c>
      <c r="I45" s="14">
        <v>22.420999999999999</v>
      </c>
      <c r="J45" s="14">
        <v>109.79300000000001</v>
      </c>
      <c r="K45" s="13">
        <v>9942</v>
      </c>
      <c r="L45" s="13">
        <v>13370</v>
      </c>
      <c r="M45" s="16">
        <v>39.305</v>
      </c>
      <c r="N45" s="16">
        <v>197.00399999999999</v>
      </c>
    </row>
    <row r="46" spans="1:14" s="9" customFormat="1" ht="27.95" customHeight="1" x14ac:dyDescent="0.25">
      <c r="A46" s="11">
        <v>31</v>
      </c>
      <c r="B46" s="12" t="s">
        <v>14</v>
      </c>
      <c r="C46" s="13">
        <v>213</v>
      </c>
      <c r="D46" s="13">
        <v>160</v>
      </c>
      <c r="E46" s="14">
        <v>1.1359999999999999</v>
      </c>
      <c r="F46" s="14">
        <v>3.8519999999999999</v>
      </c>
      <c r="G46" s="13">
        <v>102</v>
      </c>
      <c r="H46" s="13">
        <v>221</v>
      </c>
      <c r="I46" s="14">
        <v>1.5780000000000001</v>
      </c>
      <c r="J46" s="14">
        <v>7.1120000000000001</v>
      </c>
      <c r="K46" s="13">
        <v>322</v>
      </c>
      <c r="L46" s="13">
        <v>287</v>
      </c>
      <c r="M46" s="16">
        <v>0.3</v>
      </c>
      <c r="N46" s="16">
        <v>6.3819999999999997</v>
      </c>
    </row>
    <row r="47" spans="1:14" s="9" customFormat="1" ht="27.95" customHeight="1" x14ac:dyDescent="0.25">
      <c r="A47" s="11">
        <v>32</v>
      </c>
      <c r="B47" s="12" t="s">
        <v>15</v>
      </c>
      <c r="C47" s="13">
        <v>1346</v>
      </c>
      <c r="D47" s="13">
        <v>1487</v>
      </c>
      <c r="E47" s="14">
        <v>0</v>
      </c>
      <c r="F47" s="14">
        <v>1.9</v>
      </c>
      <c r="G47" s="13">
        <v>1621</v>
      </c>
      <c r="H47" s="13">
        <v>1556</v>
      </c>
      <c r="I47" s="14">
        <v>0</v>
      </c>
      <c r="J47" s="14">
        <v>1.2</v>
      </c>
      <c r="K47" s="13">
        <v>1648</v>
      </c>
      <c r="L47" s="13">
        <v>1851</v>
      </c>
      <c r="M47" s="16">
        <v>0</v>
      </c>
      <c r="N47" s="16">
        <v>3.08</v>
      </c>
    </row>
    <row r="48" spans="1:14" s="9" customFormat="1" ht="27.95" customHeight="1" x14ac:dyDescent="0.25">
      <c r="A48" s="11">
        <v>33</v>
      </c>
      <c r="B48" s="12" t="s">
        <v>16</v>
      </c>
      <c r="C48" s="13">
        <v>3133</v>
      </c>
      <c r="D48" s="13">
        <v>4738</v>
      </c>
      <c r="E48" s="14">
        <v>0.41299999999999998</v>
      </c>
      <c r="F48" s="14">
        <v>94.581000000000003</v>
      </c>
      <c r="G48" s="13">
        <v>2477</v>
      </c>
      <c r="H48" s="13">
        <v>2395</v>
      </c>
      <c r="I48" s="14">
        <v>0.29499999999999998</v>
      </c>
      <c r="J48" s="14">
        <v>106.88800000000001</v>
      </c>
      <c r="K48" s="13">
        <v>3396</v>
      </c>
      <c r="L48" s="13">
        <v>3702</v>
      </c>
      <c r="M48" s="16">
        <v>0.377</v>
      </c>
      <c r="N48" s="16">
        <v>87.81</v>
      </c>
    </row>
    <row r="49" spans="1:14" s="9" customFormat="1" ht="27.95" customHeight="1" x14ac:dyDescent="0.25">
      <c r="A49" s="11">
        <v>34</v>
      </c>
      <c r="B49" s="12" t="s">
        <v>17</v>
      </c>
      <c r="C49" s="13">
        <v>747</v>
      </c>
      <c r="D49" s="13">
        <v>2284</v>
      </c>
      <c r="E49" s="14">
        <v>204.965</v>
      </c>
      <c r="F49" s="14">
        <v>173.30600000000001</v>
      </c>
      <c r="G49" s="13">
        <v>386</v>
      </c>
      <c r="H49" s="13">
        <v>1391</v>
      </c>
      <c r="I49" s="14">
        <v>239.61600000000001</v>
      </c>
      <c r="J49" s="14">
        <v>192.61199999999999</v>
      </c>
      <c r="K49" s="13">
        <v>859</v>
      </c>
      <c r="L49" s="13">
        <v>3005</v>
      </c>
      <c r="M49" s="16">
        <v>268.613</v>
      </c>
      <c r="N49" s="16">
        <v>222.273</v>
      </c>
    </row>
    <row r="50" spans="1:14" s="9" customFormat="1" ht="27.95" customHeight="1" x14ac:dyDescent="0.25">
      <c r="A50" s="11">
        <v>35</v>
      </c>
      <c r="B50" s="12" t="s">
        <v>62</v>
      </c>
      <c r="C50" s="13">
        <v>13388</v>
      </c>
      <c r="D50" s="13">
        <v>18232</v>
      </c>
      <c r="E50" s="14">
        <v>40.573900000000002</v>
      </c>
      <c r="F50" s="14">
        <v>224.04679999999999</v>
      </c>
      <c r="G50" s="13">
        <v>12238</v>
      </c>
      <c r="H50" s="13">
        <v>14260</v>
      </c>
      <c r="I50" s="14">
        <v>16.669</v>
      </c>
      <c r="J50" s="14">
        <v>238.95520000000002</v>
      </c>
      <c r="K50" s="13">
        <v>16381</v>
      </c>
      <c r="L50" s="13">
        <v>19249</v>
      </c>
      <c r="M50" s="16">
        <v>40.073</v>
      </c>
      <c r="N50" s="16">
        <v>307.39059999999995</v>
      </c>
    </row>
    <row r="51" spans="1:14" s="9" customFormat="1" ht="27.95" customHeight="1" x14ac:dyDescent="0.25">
      <c r="A51" s="11">
        <v>36</v>
      </c>
      <c r="B51" s="12" t="s">
        <v>18</v>
      </c>
      <c r="C51" s="13">
        <v>1708</v>
      </c>
      <c r="D51" s="13">
        <v>1752</v>
      </c>
      <c r="E51" s="14">
        <v>1.101</v>
      </c>
      <c r="F51" s="14">
        <v>0</v>
      </c>
      <c r="G51" s="13">
        <v>1358</v>
      </c>
      <c r="H51" s="13">
        <v>1657</v>
      </c>
      <c r="I51" s="14">
        <v>0.16300000000000001</v>
      </c>
      <c r="J51" s="14">
        <v>1.877</v>
      </c>
      <c r="K51" s="13">
        <v>2138</v>
      </c>
      <c r="L51" s="13">
        <v>1889</v>
      </c>
      <c r="M51" s="16">
        <v>6.907</v>
      </c>
      <c r="N51" s="16">
        <v>15.212999999999999</v>
      </c>
    </row>
    <row r="52" spans="1:14" s="9" customFormat="1" ht="27.95" customHeight="1" x14ac:dyDescent="0.25">
      <c r="A52" s="11">
        <v>37</v>
      </c>
      <c r="B52" s="12" t="s">
        <v>48</v>
      </c>
      <c r="C52" s="13">
        <v>8913</v>
      </c>
      <c r="D52" s="13">
        <v>11115</v>
      </c>
      <c r="E52" s="14">
        <v>498.17399999999998</v>
      </c>
      <c r="F52" s="14">
        <v>571.58000000000004</v>
      </c>
      <c r="G52" s="13">
        <v>9278</v>
      </c>
      <c r="H52" s="13">
        <v>10464</v>
      </c>
      <c r="I52" s="14">
        <v>448.90100000000001</v>
      </c>
      <c r="J52" s="14">
        <v>487.69499999999999</v>
      </c>
      <c r="K52" s="13">
        <v>11136</v>
      </c>
      <c r="L52" s="13">
        <v>11581</v>
      </c>
      <c r="M52" s="16">
        <v>429.80500000000001</v>
      </c>
      <c r="N52" s="16">
        <v>515.26199999999994</v>
      </c>
    </row>
    <row r="53" spans="1:14" s="9" customFormat="1" ht="27.95" customHeight="1" x14ac:dyDescent="0.25">
      <c r="A53" s="11">
        <v>38</v>
      </c>
      <c r="B53" s="12" t="s">
        <v>19</v>
      </c>
      <c r="C53" s="13">
        <v>0</v>
      </c>
      <c r="D53" s="13">
        <v>0</v>
      </c>
      <c r="E53" s="14">
        <v>169.15</v>
      </c>
      <c r="F53" s="14">
        <v>120.16800000000001</v>
      </c>
      <c r="G53" s="13">
        <v>0</v>
      </c>
      <c r="H53" s="13">
        <v>0</v>
      </c>
      <c r="I53" s="14">
        <v>238.261</v>
      </c>
      <c r="J53" s="14">
        <v>157.58600000000001</v>
      </c>
      <c r="K53" s="13">
        <v>0</v>
      </c>
      <c r="L53" s="13">
        <v>0</v>
      </c>
      <c r="M53" s="16">
        <v>117.77500000000001</v>
      </c>
      <c r="N53" s="16">
        <v>91.117999999999995</v>
      </c>
    </row>
    <row r="54" spans="1:14" s="9" customFormat="1" ht="27.95" customHeight="1" x14ac:dyDescent="0.25">
      <c r="A54" s="11">
        <v>39</v>
      </c>
      <c r="B54" s="12" t="s">
        <v>53</v>
      </c>
      <c r="C54" s="13">
        <v>14150</v>
      </c>
      <c r="D54" s="13">
        <v>17696</v>
      </c>
      <c r="E54" s="14">
        <v>0</v>
      </c>
      <c r="F54" s="14">
        <v>1028.729</v>
      </c>
      <c r="G54" s="13">
        <v>18283</v>
      </c>
      <c r="H54" s="13">
        <v>18094</v>
      </c>
      <c r="I54" s="14">
        <v>0</v>
      </c>
      <c r="J54" s="14">
        <v>1061.0519999999999</v>
      </c>
      <c r="K54" s="13">
        <v>14051</v>
      </c>
      <c r="L54" s="13">
        <v>19409</v>
      </c>
      <c r="M54" s="16">
        <v>0</v>
      </c>
      <c r="N54" s="16">
        <v>1230.7739999999999</v>
      </c>
    </row>
    <row r="55" spans="1:14" s="9" customFormat="1" ht="27.95" customHeight="1" x14ac:dyDescent="0.25">
      <c r="A55" s="11">
        <v>40</v>
      </c>
      <c r="B55" s="12" t="s">
        <v>54</v>
      </c>
      <c r="C55" s="13">
        <v>0</v>
      </c>
      <c r="D55" s="13">
        <v>0</v>
      </c>
      <c r="E55" s="14">
        <v>48.73</v>
      </c>
      <c r="F55" s="14">
        <v>273.34699999999998</v>
      </c>
      <c r="G55" s="13">
        <v>0</v>
      </c>
      <c r="H55" s="13">
        <v>0</v>
      </c>
      <c r="I55" s="14">
        <v>93.772000000000006</v>
      </c>
      <c r="J55" s="14">
        <v>296.04599999999999</v>
      </c>
      <c r="K55" s="13">
        <v>0</v>
      </c>
      <c r="L55" s="13">
        <v>0</v>
      </c>
      <c r="M55" s="14">
        <v>113.154</v>
      </c>
      <c r="N55" s="14">
        <v>324.81099999999998</v>
      </c>
    </row>
    <row r="56" spans="1:14" s="9" customFormat="1" ht="27.95" customHeight="1" x14ac:dyDescent="0.25">
      <c r="A56" s="11">
        <v>41</v>
      </c>
      <c r="B56" s="12" t="s">
        <v>20</v>
      </c>
      <c r="C56" s="13">
        <v>11380</v>
      </c>
      <c r="D56" s="13">
        <v>15035</v>
      </c>
      <c r="E56" s="14">
        <v>477.16</v>
      </c>
      <c r="F56" s="14">
        <v>477.16</v>
      </c>
      <c r="G56" s="13">
        <v>13482</v>
      </c>
      <c r="H56" s="13">
        <v>16868</v>
      </c>
      <c r="I56" s="14">
        <v>533.29899999999998</v>
      </c>
      <c r="J56" s="14">
        <v>681.399</v>
      </c>
      <c r="K56" s="13">
        <v>19593</v>
      </c>
      <c r="L56" s="13">
        <v>21461</v>
      </c>
      <c r="M56" s="14">
        <v>580.93899999999996</v>
      </c>
      <c r="N56" s="14">
        <v>712.11500000000001</v>
      </c>
    </row>
    <row r="57" spans="1:14" s="9" customFormat="1" ht="27.95" customHeight="1" x14ac:dyDescent="0.25">
      <c r="A57" s="11">
        <v>42</v>
      </c>
      <c r="B57" s="12" t="s">
        <v>21</v>
      </c>
      <c r="C57" s="13">
        <v>325</v>
      </c>
      <c r="D57" s="13">
        <v>475</v>
      </c>
      <c r="E57" s="14">
        <v>7.2229999999999999</v>
      </c>
      <c r="F57" s="14">
        <v>23.530999999999999</v>
      </c>
      <c r="G57" s="13">
        <v>277</v>
      </c>
      <c r="H57" s="13">
        <v>300</v>
      </c>
      <c r="I57" s="14">
        <v>9.32</v>
      </c>
      <c r="J57" s="14">
        <v>17.160799999999998</v>
      </c>
      <c r="K57" s="13">
        <v>705</v>
      </c>
      <c r="L57" s="13">
        <v>568</v>
      </c>
      <c r="M57" s="14">
        <v>5.1233000000000004</v>
      </c>
      <c r="N57" s="14">
        <v>33.652000000000001</v>
      </c>
    </row>
    <row r="58" spans="1:14" s="9" customFormat="1" ht="27.95" customHeight="1" x14ac:dyDescent="0.25">
      <c r="A58" s="11">
        <v>43</v>
      </c>
      <c r="B58" s="12" t="s">
        <v>22</v>
      </c>
      <c r="C58" s="13">
        <v>0</v>
      </c>
      <c r="D58" s="13">
        <v>0</v>
      </c>
      <c r="E58" s="14">
        <v>1798.4280000000001</v>
      </c>
      <c r="F58" s="14">
        <v>919.55799999999999</v>
      </c>
      <c r="G58" s="13">
        <v>0</v>
      </c>
      <c r="H58" s="13">
        <v>0</v>
      </c>
      <c r="I58" s="14">
        <v>1270.0930000000001</v>
      </c>
      <c r="J58" s="14">
        <v>1100.54</v>
      </c>
      <c r="K58" s="13">
        <v>1251</v>
      </c>
      <c r="L58" s="13">
        <v>856</v>
      </c>
      <c r="M58" s="14">
        <v>1235.154</v>
      </c>
      <c r="N58" s="14">
        <v>930.00599999999997</v>
      </c>
    </row>
    <row r="59" spans="1:14" s="9" customFormat="1" ht="27.95" customHeight="1" x14ac:dyDescent="0.25">
      <c r="A59" s="11">
        <v>44</v>
      </c>
      <c r="B59" s="12" t="s">
        <v>55</v>
      </c>
      <c r="C59" s="13">
        <v>215</v>
      </c>
      <c r="D59" s="13">
        <v>350</v>
      </c>
      <c r="E59" s="14">
        <v>0</v>
      </c>
      <c r="F59" s="14">
        <v>8.1370000000000005</v>
      </c>
      <c r="G59" s="13">
        <v>339</v>
      </c>
      <c r="H59" s="13">
        <v>563</v>
      </c>
      <c r="I59" s="14">
        <v>0</v>
      </c>
      <c r="J59" s="14">
        <v>7.2290000000000001</v>
      </c>
      <c r="K59" s="13">
        <v>277</v>
      </c>
      <c r="L59" s="13">
        <v>576</v>
      </c>
      <c r="M59" s="14">
        <v>0</v>
      </c>
      <c r="N59" s="14">
        <v>8.0299999999999994</v>
      </c>
    </row>
    <row r="60" spans="1:14" s="9" customFormat="1" ht="27.95" customHeight="1" x14ac:dyDescent="0.25">
      <c r="A60" s="11">
        <v>45</v>
      </c>
      <c r="B60" s="12" t="s">
        <v>57</v>
      </c>
      <c r="C60" s="13">
        <v>103</v>
      </c>
      <c r="D60" s="13">
        <v>125</v>
      </c>
      <c r="E60" s="14">
        <v>0</v>
      </c>
      <c r="F60" s="14">
        <v>0</v>
      </c>
      <c r="G60" s="13">
        <v>34</v>
      </c>
      <c r="H60" s="13">
        <v>73</v>
      </c>
      <c r="I60" s="14">
        <v>0</v>
      </c>
      <c r="J60" s="14">
        <v>0</v>
      </c>
      <c r="K60" s="13">
        <v>163</v>
      </c>
      <c r="L60" s="13">
        <v>96</v>
      </c>
      <c r="M60" s="14">
        <v>0.51300000000000001</v>
      </c>
      <c r="N60" s="14">
        <v>0.96399999999999997</v>
      </c>
    </row>
    <row r="61" spans="1:14" s="9" customFormat="1" ht="27.95" customHeight="1" x14ac:dyDescent="0.25">
      <c r="A61" s="11">
        <v>46</v>
      </c>
      <c r="B61" s="12" t="s">
        <v>58</v>
      </c>
      <c r="C61" s="13">
        <v>2837</v>
      </c>
      <c r="D61" s="13">
        <v>3369</v>
      </c>
      <c r="E61" s="14">
        <v>11.281000000000001</v>
      </c>
      <c r="F61" s="14">
        <v>12.744999999999999</v>
      </c>
      <c r="G61" s="13">
        <v>3520</v>
      </c>
      <c r="H61" s="13">
        <v>3230</v>
      </c>
      <c r="I61" s="14">
        <v>5.6609999999999996</v>
      </c>
      <c r="J61" s="14">
        <v>16.817</v>
      </c>
      <c r="K61" s="13">
        <v>15398</v>
      </c>
      <c r="L61" s="13">
        <v>7655</v>
      </c>
      <c r="M61" s="14">
        <v>13.909000000000001</v>
      </c>
      <c r="N61" s="14">
        <v>19.664999999999999</v>
      </c>
    </row>
    <row r="62" spans="1:14" s="9" customFormat="1" ht="27.95" customHeight="1" x14ac:dyDescent="0.25">
      <c r="A62" s="11">
        <v>47</v>
      </c>
      <c r="B62" s="12" t="s">
        <v>85</v>
      </c>
      <c r="C62" s="13">
        <v>0</v>
      </c>
      <c r="D62" s="13">
        <v>0</v>
      </c>
      <c r="E62" s="14">
        <v>0</v>
      </c>
      <c r="F62" s="14">
        <v>0</v>
      </c>
      <c r="G62" s="13">
        <v>0</v>
      </c>
      <c r="H62" s="13">
        <v>0</v>
      </c>
      <c r="I62" s="14">
        <v>0</v>
      </c>
      <c r="J62" s="14">
        <v>0</v>
      </c>
      <c r="K62" s="13">
        <v>320</v>
      </c>
      <c r="L62" s="13">
        <v>267</v>
      </c>
      <c r="M62" s="14">
        <v>0</v>
      </c>
      <c r="N62" s="14">
        <v>0</v>
      </c>
    </row>
    <row r="63" spans="1:14" s="9" customFormat="1" ht="27.95" customHeight="1" x14ac:dyDescent="0.25">
      <c r="A63" s="11">
        <v>48</v>
      </c>
      <c r="B63" s="12" t="s">
        <v>23</v>
      </c>
      <c r="C63" s="13">
        <v>10981</v>
      </c>
      <c r="D63" s="13">
        <v>19208</v>
      </c>
      <c r="E63" s="14">
        <v>451.27570000000003</v>
      </c>
      <c r="F63" s="14">
        <v>813.89247999999998</v>
      </c>
      <c r="G63" s="13">
        <v>10606</v>
      </c>
      <c r="H63" s="13">
        <v>18453</v>
      </c>
      <c r="I63" s="14">
        <v>412.31970000000001</v>
      </c>
      <c r="J63" s="14">
        <v>813.65347999999994</v>
      </c>
      <c r="K63" s="13">
        <v>16284</v>
      </c>
      <c r="L63" s="13">
        <v>20154</v>
      </c>
      <c r="M63" s="14">
        <v>341.08840000000004</v>
      </c>
      <c r="N63" s="14">
        <v>905.45869999999991</v>
      </c>
    </row>
    <row r="64" spans="1:14" s="9" customFormat="1" ht="27.95" customHeight="1" x14ac:dyDescent="0.25">
      <c r="A64" s="11">
        <v>49</v>
      </c>
      <c r="B64" s="12" t="s">
        <v>86</v>
      </c>
      <c r="C64" s="13">
        <v>11943</v>
      </c>
      <c r="D64" s="13">
        <v>12234</v>
      </c>
      <c r="E64" s="14">
        <v>0</v>
      </c>
      <c r="F64" s="14">
        <v>0</v>
      </c>
      <c r="G64" s="13">
        <v>11608</v>
      </c>
      <c r="H64" s="13">
        <v>7049</v>
      </c>
      <c r="I64" s="14">
        <v>0</v>
      </c>
      <c r="J64" s="14">
        <v>0</v>
      </c>
      <c r="K64" s="13">
        <v>6858</v>
      </c>
      <c r="L64" s="13">
        <v>9280</v>
      </c>
      <c r="M64" s="14">
        <v>0</v>
      </c>
      <c r="N64" s="14">
        <v>0</v>
      </c>
    </row>
    <row r="65" spans="1:14" s="9" customFormat="1" ht="27.95" customHeight="1" x14ac:dyDescent="0.25">
      <c r="A65" s="11">
        <v>50</v>
      </c>
      <c r="B65" s="12" t="s">
        <v>24</v>
      </c>
      <c r="C65" s="13">
        <v>73344</v>
      </c>
      <c r="D65" s="13">
        <v>85409</v>
      </c>
      <c r="E65" s="14">
        <v>7052.8760000000002</v>
      </c>
      <c r="F65" s="14">
        <v>9146.4079999999994</v>
      </c>
      <c r="G65" s="13">
        <v>75711</v>
      </c>
      <c r="H65" s="13">
        <v>83778</v>
      </c>
      <c r="I65" s="14">
        <v>7493.9309999999996</v>
      </c>
      <c r="J65" s="14">
        <v>8712.0589999999993</v>
      </c>
      <c r="K65" s="13">
        <v>85738</v>
      </c>
      <c r="L65" s="13">
        <v>88330</v>
      </c>
      <c r="M65" s="14">
        <v>8384.9869999999992</v>
      </c>
      <c r="N65" s="14">
        <v>8725.19</v>
      </c>
    </row>
    <row r="66" spans="1:14" s="9" customFormat="1" ht="27.95" customHeight="1" x14ac:dyDescent="0.25">
      <c r="A66" s="11">
        <v>51</v>
      </c>
      <c r="B66" s="12" t="s">
        <v>75</v>
      </c>
      <c r="C66" s="13">
        <v>1428</v>
      </c>
      <c r="D66" s="13">
        <v>1386</v>
      </c>
      <c r="E66" s="14">
        <v>0</v>
      </c>
      <c r="F66" s="14">
        <v>0</v>
      </c>
      <c r="G66" s="13">
        <v>1017</v>
      </c>
      <c r="H66" s="13">
        <v>944</v>
      </c>
      <c r="I66" s="14">
        <v>0</v>
      </c>
      <c r="J66" s="14">
        <v>0</v>
      </c>
      <c r="K66" s="13">
        <v>488</v>
      </c>
      <c r="L66" s="13">
        <v>943</v>
      </c>
      <c r="M66" s="14">
        <v>0</v>
      </c>
      <c r="N66" s="14">
        <v>0</v>
      </c>
    </row>
    <row r="67" spans="1:14" s="9" customFormat="1" ht="27.95" customHeight="1" x14ac:dyDescent="0.25">
      <c r="A67" s="11">
        <v>52</v>
      </c>
      <c r="B67" s="12" t="s">
        <v>59</v>
      </c>
      <c r="C67" s="13">
        <v>1837</v>
      </c>
      <c r="D67" s="13">
        <v>1728</v>
      </c>
      <c r="E67" s="14">
        <v>0</v>
      </c>
      <c r="F67" s="14">
        <v>0</v>
      </c>
      <c r="G67" s="13">
        <v>1401</v>
      </c>
      <c r="H67" s="13">
        <v>1691</v>
      </c>
      <c r="I67" s="14">
        <v>0</v>
      </c>
      <c r="J67" s="14">
        <v>0</v>
      </c>
      <c r="K67" s="13">
        <v>1507</v>
      </c>
      <c r="L67" s="13">
        <v>1519</v>
      </c>
      <c r="M67" s="14">
        <v>0</v>
      </c>
      <c r="N67" s="14">
        <v>0</v>
      </c>
    </row>
    <row r="68" spans="1:14" s="9" customFormat="1" ht="27.95" customHeight="1" x14ac:dyDescent="0.25">
      <c r="A68" s="11">
        <v>53</v>
      </c>
      <c r="B68" s="12" t="s">
        <v>87</v>
      </c>
      <c r="C68" s="13">
        <v>9852</v>
      </c>
      <c r="D68" s="13">
        <v>13591</v>
      </c>
      <c r="E68" s="14">
        <v>21.901</v>
      </c>
      <c r="F68" s="14">
        <v>78.108000000000004</v>
      </c>
      <c r="G68" s="13">
        <v>8512</v>
      </c>
      <c r="H68" s="13">
        <v>10849</v>
      </c>
      <c r="I68" s="14">
        <v>27.628</v>
      </c>
      <c r="J68" s="14">
        <v>75.942999999999998</v>
      </c>
      <c r="K68" s="13">
        <v>9975</v>
      </c>
      <c r="L68" s="13">
        <v>10642</v>
      </c>
      <c r="M68" s="14">
        <v>24.323</v>
      </c>
      <c r="N68" s="14">
        <v>96.393000000000001</v>
      </c>
    </row>
    <row r="69" spans="1:14" s="9" customFormat="1" ht="27.95" customHeight="1" x14ac:dyDescent="0.25">
      <c r="A69" s="11">
        <v>54</v>
      </c>
      <c r="B69" s="12" t="s">
        <v>88</v>
      </c>
      <c r="C69" s="13">
        <v>18976</v>
      </c>
      <c r="D69" s="13">
        <v>34459</v>
      </c>
      <c r="E69" s="14">
        <v>229.78</v>
      </c>
      <c r="F69" s="14">
        <v>1099.827</v>
      </c>
      <c r="G69" s="13">
        <v>25114</v>
      </c>
      <c r="H69" s="13">
        <v>25254</v>
      </c>
      <c r="I69" s="14">
        <v>197.75700000000001</v>
      </c>
      <c r="J69" s="14">
        <v>1558.21</v>
      </c>
      <c r="K69" s="13">
        <v>31709</v>
      </c>
      <c r="L69" s="13">
        <v>38263</v>
      </c>
      <c r="M69" s="14">
        <v>328.178</v>
      </c>
      <c r="N69" s="14">
        <v>2261.8240000000001</v>
      </c>
    </row>
    <row r="70" spans="1:14" s="9" customFormat="1" ht="27.95" customHeight="1" x14ac:dyDescent="0.25">
      <c r="A70" s="11">
        <v>55</v>
      </c>
      <c r="B70" s="12" t="s">
        <v>76</v>
      </c>
      <c r="C70" s="13">
        <v>368</v>
      </c>
      <c r="D70" s="13">
        <v>850</v>
      </c>
      <c r="E70" s="14">
        <v>0</v>
      </c>
      <c r="F70" s="14">
        <v>0</v>
      </c>
      <c r="G70" s="13">
        <v>0</v>
      </c>
      <c r="H70" s="13">
        <v>0</v>
      </c>
      <c r="I70" s="14">
        <v>0</v>
      </c>
      <c r="J70" s="14">
        <v>0</v>
      </c>
      <c r="K70" s="13">
        <v>0</v>
      </c>
      <c r="L70" s="13">
        <v>0</v>
      </c>
      <c r="M70" s="14">
        <v>0</v>
      </c>
      <c r="N70" s="14">
        <v>0</v>
      </c>
    </row>
    <row r="71" spans="1:14" s="9" customFormat="1" ht="27.95" customHeight="1" x14ac:dyDescent="0.25">
      <c r="A71" s="11">
        <v>56</v>
      </c>
      <c r="B71" s="12" t="s">
        <v>77</v>
      </c>
      <c r="C71" s="13">
        <v>3789</v>
      </c>
      <c r="D71" s="13">
        <v>3012</v>
      </c>
      <c r="E71" s="14">
        <v>0.88860000000000006</v>
      </c>
      <c r="F71" s="14">
        <v>26.183299999999999</v>
      </c>
      <c r="G71" s="13">
        <v>4614</v>
      </c>
      <c r="H71" s="13">
        <v>3222</v>
      </c>
      <c r="I71" s="14">
        <v>0.41099999999999998</v>
      </c>
      <c r="J71" s="14">
        <v>22.047000000000001</v>
      </c>
      <c r="K71" s="13">
        <v>9083</v>
      </c>
      <c r="L71" s="13">
        <v>7529</v>
      </c>
      <c r="M71" s="14">
        <v>5.6299999999999996E-2</v>
      </c>
      <c r="N71" s="14">
        <v>33.411499999999997</v>
      </c>
    </row>
    <row r="72" spans="1:14" s="9" customFormat="1" ht="27.95" customHeight="1" x14ac:dyDescent="0.25">
      <c r="A72" s="11">
        <v>57</v>
      </c>
      <c r="B72" s="12" t="s">
        <v>78</v>
      </c>
      <c r="C72" s="13">
        <v>8976</v>
      </c>
      <c r="D72" s="13">
        <v>24837</v>
      </c>
      <c r="E72" s="14">
        <v>2366.8410400000002</v>
      </c>
      <c r="F72" s="14">
        <v>1876.2817299999999</v>
      </c>
      <c r="G72" s="13">
        <v>11725</v>
      </c>
      <c r="H72" s="13">
        <v>23478</v>
      </c>
      <c r="I72" s="14">
        <v>1753.50441</v>
      </c>
      <c r="J72" s="14">
        <v>1761.82755</v>
      </c>
      <c r="K72" s="13">
        <v>31231</v>
      </c>
      <c r="L72" s="13">
        <v>37823</v>
      </c>
      <c r="M72" s="14">
        <v>2360.9304200000001</v>
      </c>
      <c r="N72" s="14">
        <v>2093.4974099999999</v>
      </c>
    </row>
    <row r="73" spans="1:14" s="9" customFormat="1" ht="27.95" customHeight="1" x14ac:dyDescent="0.25">
      <c r="A73" s="11">
        <v>58</v>
      </c>
      <c r="B73" s="12" t="s">
        <v>38</v>
      </c>
      <c r="C73" s="13">
        <v>24480</v>
      </c>
      <c r="D73" s="13">
        <v>29373</v>
      </c>
      <c r="E73" s="14">
        <v>320.483</v>
      </c>
      <c r="F73" s="14">
        <v>623.029</v>
      </c>
      <c r="G73" s="13">
        <v>21795</v>
      </c>
      <c r="H73" s="13">
        <v>30518</v>
      </c>
      <c r="I73" s="14">
        <v>328.79899999999998</v>
      </c>
      <c r="J73" s="14">
        <v>576.11300000000006</v>
      </c>
      <c r="K73" s="13">
        <v>34969</v>
      </c>
      <c r="L73" s="13">
        <v>38222</v>
      </c>
      <c r="M73" s="14">
        <v>501.35379999999998</v>
      </c>
      <c r="N73" s="14">
        <v>782.05899999999997</v>
      </c>
    </row>
    <row r="74" spans="1:14" s="9" customFormat="1" ht="27.95" customHeight="1" x14ac:dyDescent="0.25">
      <c r="A74" s="11">
        <v>59</v>
      </c>
      <c r="B74" s="12" t="s">
        <v>44</v>
      </c>
      <c r="C74" s="13">
        <v>404</v>
      </c>
      <c r="D74" s="13">
        <v>1117</v>
      </c>
      <c r="E74" s="14">
        <v>142.96</v>
      </c>
      <c r="F74" s="14">
        <v>127.41800000000001</v>
      </c>
      <c r="G74" s="13">
        <v>2026</v>
      </c>
      <c r="H74" s="13">
        <v>2235</v>
      </c>
      <c r="I74" s="14">
        <v>295.03100000000001</v>
      </c>
      <c r="J74" s="14">
        <v>222.351</v>
      </c>
      <c r="K74" s="13">
        <v>5917</v>
      </c>
      <c r="L74" s="13">
        <v>6983</v>
      </c>
      <c r="M74" s="14">
        <v>441.86500000000001</v>
      </c>
      <c r="N74" s="14">
        <v>488.452</v>
      </c>
    </row>
    <row r="75" spans="1:14" s="9" customFormat="1" ht="27.95" customHeight="1" x14ac:dyDescent="0.25">
      <c r="A75" s="11">
        <v>60</v>
      </c>
      <c r="B75" s="12" t="s">
        <v>49</v>
      </c>
      <c r="C75" s="13">
        <v>1395</v>
      </c>
      <c r="D75" s="13">
        <v>2036</v>
      </c>
      <c r="E75" s="14">
        <v>1391.992</v>
      </c>
      <c r="F75" s="14">
        <v>727.55700000000002</v>
      </c>
      <c r="G75" s="13">
        <v>1123</v>
      </c>
      <c r="H75" s="13">
        <v>1752</v>
      </c>
      <c r="I75" s="14">
        <v>950.09400000000005</v>
      </c>
      <c r="J75" s="14">
        <v>790.27700000000004</v>
      </c>
      <c r="K75" s="13">
        <v>6725</v>
      </c>
      <c r="L75" s="13">
        <v>8131</v>
      </c>
      <c r="M75" s="14">
        <v>1371.1389999999999</v>
      </c>
      <c r="N75" s="14">
        <v>1057.8620000000001</v>
      </c>
    </row>
    <row r="76" spans="1:14" s="9" customFormat="1" ht="27.95" customHeight="1" x14ac:dyDescent="0.25">
      <c r="A76" s="11">
        <v>61</v>
      </c>
      <c r="B76" s="12" t="s">
        <v>89</v>
      </c>
      <c r="C76" s="13">
        <v>0</v>
      </c>
      <c r="D76" s="13">
        <v>0</v>
      </c>
      <c r="E76" s="14">
        <v>0</v>
      </c>
      <c r="F76" s="14">
        <v>0</v>
      </c>
      <c r="G76" s="13"/>
      <c r="H76" s="13">
        <v>0</v>
      </c>
      <c r="I76" s="14">
        <v>0</v>
      </c>
      <c r="J76" s="14">
        <v>0</v>
      </c>
      <c r="K76" s="13">
        <v>565</v>
      </c>
      <c r="L76" s="13">
        <v>575</v>
      </c>
      <c r="M76" s="14">
        <v>0</v>
      </c>
      <c r="N76" s="14">
        <v>0</v>
      </c>
    </row>
    <row r="77" spans="1:14" s="9" customFormat="1" ht="27.95" customHeight="1" x14ac:dyDescent="0.25">
      <c r="A77" s="11">
        <v>62</v>
      </c>
      <c r="B77" s="12" t="s">
        <v>25</v>
      </c>
      <c r="C77" s="13">
        <v>0</v>
      </c>
      <c r="D77" s="13">
        <v>0</v>
      </c>
      <c r="E77" s="14">
        <v>2860.4431300000001</v>
      </c>
      <c r="F77" s="14">
        <v>2788.6958</v>
      </c>
      <c r="G77" s="13">
        <v>0</v>
      </c>
      <c r="H77" s="13">
        <v>0</v>
      </c>
      <c r="I77" s="14">
        <v>2643.75</v>
      </c>
      <c r="J77" s="14">
        <v>2552.9929999999999</v>
      </c>
      <c r="K77" s="13">
        <v>1477</v>
      </c>
      <c r="L77" s="13">
        <v>1544</v>
      </c>
      <c r="M77" s="14">
        <v>3406.277</v>
      </c>
      <c r="N77" s="14">
        <v>3445.2130000000002</v>
      </c>
    </row>
    <row r="78" spans="1:14" s="9" customFormat="1" ht="27.95" customHeight="1" x14ac:dyDescent="0.25">
      <c r="A78" s="11">
        <v>63</v>
      </c>
      <c r="B78" s="12" t="s">
        <v>26</v>
      </c>
      <c r="C78" s="13">
        <v>24535</v>
      </c>
      <c r="D78" s="13">
        <v>30184</v>
      </c>
      <c r="E78" s="14">
        <v>276.21115000000003</v>
      </c>
      <c r="F78" s="14">
        <v>551.85895999999991</v>
      </c>
      <c r="G78" s="13">
        <v>26418</v>
      </c>
      <c r="H78" s="13">
        <v>29195</v>
      </c>
      <c r="I78" s="14">
        <v>291.49038999999999</v>
      </c>
      <c r="J78" s="14">
        <v>563.18948999999998</v>
      </c>
      <c r="K78" s="13">
        <v>16856</v>
      </c>
      <c r="L78" s="13">
        <v>15786</v>
      </c>
      <c r="M78" s="14">
        <v>173.90816999999998</v>
      </c>
      <c r="N78" s="14">
        <v>132.70580999999999</v>
      </c>
    </row>
    <row r="79" spans="1:14" s="9" customFormat="1" ht="27.95" customHeight="1" x14ac:dyDescent="0.25">
      <c r="A79" s="11">
        <v>64</v>
      </c>
      <c r="B79" s="12" t="s">
        <v>79</v>
      </c>
      <c r="C79" s="13">
        <v>0</v>
      </c>
      <c r="D79" s="13">
        <v>0</v>
      </c>
      <c r="E79" s="14">
        <v>488.95100000000002</v>
      </c>
      <c r="F79" s="14">
        <v>189.42699999999999</v>
      </c>
      <c r="G79" s="13">
        <v>0</v>
      </c>
      <c r="H79" s="13">
        <v>0</v>
      </c>
      <c r="I79" s="14">
        <v>482.43400000000003</v>
      </c>
      <c r="J79" s="14">
        <v>1666.971</v>
      </c>
      <c r="K79" s="13">
        <v>0</v>
      </c>
      <c r="L79" s="13">
        <v>0</v>
      </c>
      <c r="M79" s="14">
        <v>557.96600000000001</v>
      </c>
      <c r="N79" s="14">
        <v>2273.1550000000002</v>
      </c>
    </row>
    <row r="80" spans="1:14" s="9" customFormat="1" ht="27.95" customHeight="1" x14ac:dyDescent="0.25">
      <c r="A80" s="11">
        <v>65</v>
      </c>
      <c r="B80" s="12" t="s">
        <v>80</v>
      </c>
      <c r="C80" s="13">
        <v>1085</v>
      </c>
      <c r="D80" s="13">
        <v>1169</v>
      </c>
      <c r="E80" s="14">
        <v>0</v>
      </c>
      <c r="F80" s="14">
        <v>24.027999999999999</v>
      </c>
      <c r="G80" s="13">
        <v>1132</v>
      </c>
      <c r="H80" s="13">
        <v>951</v>
      </c>
      <c r="I80" s="14">
        <v>0</v>
      </c>
      <c r="J80" s="14">
        <v>22.556999999999999</v>
      </c>
      <c r="K80" s="13">
        <v>1983</v>
      </c>
      <c r="L80" s="13">
        <v>1881</v>
      </c>
      <c r="M80" s="14">
        <v>0</v>
      </c>
      <c r="N80" s="14">
        <v>33.856999999999999</v>
      </c>
    </row>
    <row r="81" spans="1:14" s="9" customFormat="1" ht="27.95" customHeight="1" x14ac:dyDescent="0.25">
      <c r="A81" s="11">
        <v>66</v>
      </c>
      <c r="B81" s="12" t="s">
        <v>27</v>
      </c>
      <c r="C81" s="13">
        <v>1295</v>
      </c>
      <c r="D81" s="13">
        <v>1365</v>
      </c>
      <c r="E81" s="14">
        <v>4.2210000000000001</v>
      </c>
      <c r="F81" s="14">
        <v>71.909000000000006</v>
      </c>
      <c r="G81" s="13">
        <v>1195</v>
      </c>
      <c r="H81" s="13">
        <v>1485</v>
      </c>
      <c r="I81" s="14">
        <v>1.456</v>
      </c>
      <c r="J81" s="14">
        <v>62.704999999999998</v>
      </c>
      <c r="K81" s="13">
        <v>1824</v>
      </c>
      <c r="L81" s="13">
        <v>1647</v>
      </c>
      <c r="M81" s="14">
        <v>29.452000000000002</v>
      </c>
      <c r="N81" s="14">
        <v>62.323999999999998</v>
      </c>
    </row>
    <row r="82" spans="1:14" s="9" customFormat="1" ht="27.95" customHeight="1" x14ac:dyDescent="0.25">
      <c r="A82" s="11">
        <v>67</v>
      </c>
      <c r="B82" s="12" t="s">
        <v>28</v>
      </c>
      <c r="C82" s="13">
        <v>9926</v>
      </c>
      <c r="D82" s="13">
        <v>14914</v>
      </c>
      <c r="E82" s="14">
        <v>817.88400000000001</v>
      </c>
      <c r="F82" s="14">
        <v>1181.1590000000001</v>
      </c>
      <c r="G82" s="13">
        <v>12415</v>
      </c>
      <c r="H82" s="13">
        <v>14078</v>
      </c>
      <c r="I82" s="14">
        <v>765.85</v>
      </c>
      <c r="J82" s="14">
        <v>1173.3900000000001</v>
      </c>
      <c r="K82" s="13">
        <v>13073</v>
      </c>
      <c r="L82" s="13">
        <v>14875</v>
      </c>
      <c r="M82" s="14">
        <v>733.34799999999996</v>
      </c>
      <c r="N82" s="14">
        <v>1092.431</v>
      </c>
    </row>
    <row r="83" spans="1:14" s="9" customFormat="1" ht="27.95" customHeight="1" x14ac:dyDescent="0.25">
      <c r="A83" s="11">
        <v>68</v>
      </c>
      <c r="B83" s="12" t="s">
        <v>29</v>
      </c>
      <c r="C83" s="13">
        <v>940</v>
      </c>
      <c r="D83" s="13">
        <v>729</v>
      </c>
      <c r="E83" s="14">
        <v>0</v>
      </c>
      <c r="F83" s="14">
        <v>7.8007</v>
      </c>
      <c r="G83" s="13">
        <v>597</v>
      </c>
      <c r="H83" s="13">
        <v>556</v>
      </c>
      <c r="I83" s="14">
        <v>0</v>
      </c>
      <c r="J83" s="14">
        <v>6.1139999999999999</v>
      </c>
      <c r="K83" s="13">
        <v>868</v>
      </c>
      <c r="L83" s="13">
        <v>862</v>
      </c>
      <c r="M83" s="14">
        <v>0</v>
      </c>
      <c r="N83" s="14">
        <v>5.9951000000000008</v>
      </c>
    </row>
    <row r="84" spans="1:14" ht="27.75" customHeight="1" x14ac:dyDescent="0.25">
      <c r="A84" s="34" t="s">
        <v>30</v>
      </c>
      <c r="B84" s="34"/>
      <c r="C84" s="19">
        <f t="shared" ref="C84:N84" si="1">SUM(C16:C83)</f>
        <v>548378</v>
      </c>
      <c r="D84" s="19">
        <f t="shared" si="1"/>
        <v>728840</v>
      </c>
      <c r="E84" s="20">
        <f t="shared" si="1"/>
        <v>42687.150203999983</v>
      </c>
      <c r="F84" s="20">
        <f t="shared" si="1"/>
        <v>51051.639395999999</v>
      </c>
      <c r="G84" s="19">
        <f t="shared" si="1"/>
        <v>567859</v>
      </c>
      <c r="H84" s="19">
        <f t="shared" si="1"/>
        <v>654121</v>
      </c>
      <c r="I84" s="20">
        <f t="shared" si="1"/>
        <v>39905.848392</v>
      </c>
      <c r="J84" s="20">
        <f t="shared" si="1"/>
        <v>53480.964517000008</v>
      </c>
      <c r="K84" s="19">
        <f t="shared" si="1"/>
        <v>791784</v>
      </c>
      <c r="L84" s="19">
        <f t="shared" si="1"/>
        <v>860412</v>
      </c>
      <c r="M84" s="20">
        <f t="shared" si="1"/>
        <v>47061.040528999984</v>
      </c>
      <c r="N84" s="20">
        <f t="shared" si="1"/>
        <v>61123.630720000016</v>
      </c>
    </row>
    <row r="85" spans="1:14" ht="41.25" customHeight="1" x14ac:dyDescent="0.25">
      <c r="A85" s="35" t="s">
        <v>31</v>
      </c>
      <c r="B85" s="35"/>
      <c r="C85" s="21">
        <f t="shared" ref="C85:N85" si="2">C14+C84</f>
        <v>1018994</v>
      </c>
      <c r="D85" s="21">
        <f t="shared" si="2"/>
        <v>1423240</v>
      </c>
      <c r="E85" s="22">
        <f t="shared" si="2"/>
        <v>48940.001183999979</v>
      </c>
      <c r="F85" s="22">
        <f t="shared" si="2"/>
        <v>62418.735096000004</v>
      </c>
      <c r="G85" s="21">
        <f t="shared" si="2"/>
        <v>1069358</v>
      </c>
      <c r="H85" s="21">
        <f t="shared" si="2"/>
        <v>1261585</v>
      </c>
      <c r="I85" s="22">
        <f t="shared" si="2"/>
        <v>45625.040512</v>
      </c>
      <c r="J85" s="22">
        <f t="shared" si="2"/>
        <v>65050.362077000013</v>
      </c>
      <c r="K85" s="21">
        <f t="shared" si="2"/>
        <v>1544946</v>
      </c>
      <c r="L85" s="21">
        <f t="shared" si="2"/>
        <v>1662346</v>
      </c>
      <c r="M85" s="22">
        <f t="shared" si="2"/>
        <v>54458.291328999985</v>
      </c>
      <c r="N85" s="22">
        <f t="shared" si="2"/>
        <v>73986.784220000016</v>
      </c>
    </row>
    <row r="86" spans="1:14" s="9" customFormat="1" ht="30.75" customHeight="1" x14ac:dyDescent="0.2">
      <c r="A86" s="28" t="s">
        <v>39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0"/>
    </row>
    <row r="87" spans="1:14" s="9" customFormat="1" ht="30.75" customHeight="1" x14ac:dyDescent="0.2">
      <c r="A87" s="28" t="s">
        <v>69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0"/>
    </row>
    <row r="88" spans="1:14" s="9" customFormat="1" ht="21" customHeight="1" x14ac:dyDescent="0.2">
      <c r="A88" s="27" t="s">
        <v>37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 spans="1:14" ht="18.75" customHeight="1" x14ac:dyDescent="0.25"/>
    <row r="90" spans="1:14" ht="18.75" customHeight="1" x14ac:dyDescent="0.25"/>
    <row r="91" spans="1:14" ht="18.75" customHeight="1" x14ac:dyDescent="0.25"/>
  </sheetData>
  <mergeCells count="15">
    <mergeCell ref="A88:N88"/>
    <mergeCell ref="A86:N86"/>
    <mergeCell ref="A5:N5"/>
    <mergeCell ref="A14:B14"/>
    <mergeCell ref="A15:N15"/>
    <mergeCell ref="A84:B84"/>
    <mergeCell ref="A85:B85"/>
    <mergeCell ref="A87:N87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43" fitToHeight="2" orientation="landscape" r:id="rId1"/>
  <headerFooter>
    <oddFooter>Page &amp;P of &amp;N</oddFooter>
  </headerFooter>
  <rowBreaks count="1" manualBreakCount="1">
    <brk id="4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2022-07-04T05:48:50Z</dcterms:modified>
</cp:coreProperties>
</file>